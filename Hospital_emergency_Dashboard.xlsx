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defaultThemeVersion="166925"/>
  <mc:AlternateContent xmlns:mc="http://schemas.openxmlformats.org/markup-compatibility/2006">
    <mc:Choice Requires="x15">
      <x15ac:absPath xmlns:x15ac="http://schemas.microsoft.com/office/spreadsheetml/2010/11/ac" url="C:\Users\Anurag Vatsa\Downloads\"/>
    </mc:Choice>
  </mc:AlternateContent>
  <xr:revisionPtr revIDLastSave="0" documentId="13_ncr:1_{D4326E61-4074-403E-8BF7-B8AF387D4DAB}" xr6:coauthVersionLast="47" xr6:coauthVersionMax="47" xr10:uidLastSave="{00000000-0000-0000-0000-000000000000}"/>
  <bookViews>
    <workbookView xWindow="-108" yWindow="-108" windowWidth="23256" windowHeight="12456" xr2:uid="{7DE8C8C6-3DCB-4C27-AEF7-15466EE81EC7}"/>
  </bookViews>
  <sheets>
    <sheet name="pivot report" sheetId="1" r:id="rId1"/>
    <sheet name="Dashboard Sheet" sheetId="4" r:id="rId2"/>
    <sheet name="Daily ER visit busy trend" sheetId="5" r:id="rId3"/>
    <sheet name="Daily Avg Waittime" sheetId="6" r:id="rId4"/>
    <sheet name="Daily Avg Satisfacton score " sheetId="7"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45b409c7-5761-45a4-a2f0-d4933440aa6d" name="Hospital Emergency Room Data  2" connection="Query - Hospital Emergency Room Data (2)"/>
          <x15:modelTable id="Calender-table_09893401-b114-468f-bc6c-d6eb78e4e1af" name="Calender-table" connection="Query - Calender-table"/>
        </x15:modelTables>
        <x15:modelRelationships>
          <x15:modelRelationship fromTable="Hospital Emergency Room Data  2" fromColumn="Patient Admission Date" toTable="Calender-table" toColumn="Date"/>
        </x15:modelRelationships>
        <x15:extLst>
          <ext xmlns:x16="http://schemas.microsoft.com/office/spreadsheetml/2014/11/main" uri="{9835A34E-60A6-4A7C-AAB8-D5F71C897F49}">
            <x16:modelTimeGroupings>
              <x16:modelTimeGrouping tableName="Calender-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EA4846-6C5F-4788-86BD-09A4D57B21E3}" name="Query - Calender-table" description="Connection to the 'Calender-table' query in the workbook." type="100" refreshedVersion="8" minRefreshableVersion="5">
    <extLst>
      <ext xmlns:x15="http://schemas.microsoft.com/office/spreadsheetml/2010/11/main" uri="{DE250136-89BD-433C-8126-D09CA5730AF9}">
        <x15:connection id="03e77b34-ecdf-42fd-89a8-d8fd3ac9c4b1"/>
      </ext>
    </extLst>
  </connection>
  <connection id="2" xr16:uid="{6B389116-82A9-4910-AADF-10694051D095}"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34bd7c81-b844-4e7f-8510-7dabc804c25d"/>
      </ext>
    </extLst>
  </connection>
  <connection id="3" xr16:uid="{530B7A30-234A-472C-91A6-D55D36A3D5F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<sst xmlns="http://schemas.openxmlformats.org/spreadsheetml/2006/main" count="158" uniqueCount="75">
  <si>
    <t>Row Labels</t>
  </si>
  <si>
    <t>Grand Total</t>
  </si>
  <si>
    <t>Distinct Count of Patient Id</t>
  </si>
  <si>
    <t>Total no.of Patient</t>
  </si>
  <si>
    <t>Average of Patient Waittime</t>
  </si>
  <si>
    <t>Average of Patient Satisfaction Score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</si>
  <si>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</si>
  <si>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</si>
  <si>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</si>
  <si>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</si>
  <si>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</si>
  <si>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</si>
  <si>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</si>
  <si>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</si>
  <si>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</si>
  <si>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</si>
  <si>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</si>
  <si>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</si>
  <si>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</si>
  <si>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</si>
  <si>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</si>
  <si>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</si>
  <si>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</si>
  <si>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</si>
  <si>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</si>
  <si>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</si>
  <si>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</si>
  <si>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</si>
  <si>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</si>
  <si>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</si>
  <si>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</si>
  <si>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</si>
  <si>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</si>
  <si>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</si>
  <si>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</si>
  <si>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</si>
  <si>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</si>
  <si>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 for Average wait time</t>
  </si>
  <si>
    <t>Daily trends of Numbers of patient</t>
  </si>
  <si>
    <t>Satisfaction score for daily trend</t>
  </si>
  <si>
    <t>Count of Patient Admission Flag</t>
  </si>
  <si>
    <t>Admitted</t>
  </si>
  <si>
    <t>Not Admitted</t>
  </si>
  <si>
    <t>Count of Patient Admission Flag2</t>
  </si>
  <si>
    <t>Admission Status</t>
  </si>
  <si>
    <t>No.of Patient</t>
  </si>
  <si>
    <t>% Status</t>
  </si>
  <si>
    <t>Count of Patient Age</t>
  </si>
  <si>
    <t>0-9</t>
  </si>
  <si>
    <t>10-19</t>
  </si>
  <si>
    <t>20-29</t>
  </si>
  <si>
    <t>30-39</t>
  </si>
  <si>
    <t>40-49</t>
  </si>
  <si>
    <t>50-59</t>
  </si>
  <si>
    <t>60-69</t>
  </si>
  <si>
    <t>70-79</t>
  </si>
  <si>
    <t>Age Group Analysis</t>
  </si>
  <si>
    <t xml:space="preserve"> OnTime</t>
  </si>
  <si>
    <t>Delay</t>
  </si>
  <si>
    <t>Count of Patient Id</t>
  </si>
  <si>
    <t>Female</t>
  </si>
  <si>
    <t>Male</t>
  </si>
  <si>
    <t>Patients Attended Status</t>
  </si>
  <si>
    <t>Count of Patient Gender</t>
  </si>
  <si>
    <t>Patient Gender analysis</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</si>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</sst>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4" x14ac:knownFonts="1">
    <font>
      <sz val="11"/>
      <color theme="1"/>
      <name val="Calibri"/>
      <family val="2"/>
      <scheme val="minor"/>
    </font>
    <font>
      <b/>
      <sz val="10"/>
      <color theme="1"/>
      <name val="Calibri"/>
      <family val="2"/>
      <scheme val="minor"/>
    </font>
    <font>
      <sz val="10"/>
      <color theme="1"/>
      <name val="Calibri"/>
      <family val="2"/>
      <scheme val="minor"/>
    </font>
    <font>
      <sz val="11"/>
      <color theme="4"/>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2" borderId="0" xfId="0" applyFill="1"/>
    <xf numFmtId="10" fontId="0" fillId="0" borderId="0" xfId="0" applyNumberFormat="1"/>
    <xf numFmtId="1" fontId="0" fillId="0" borderId="0" xfId="0" applyNumberFormat="1"/>
    <xf numFmtId="0" fontId="0" fillId="4" borderId="0" xfId="0" applyFill="1"/>
    <xf numFmtId="0" fontId="1" fillId="3" borderId="0" xfId="0" applyFont="1" applyFill="1" applyAlignment="1">
      <alignment horizontal="left"/>
    </xf>
    <xf numFmtId="0" fontId="2" fillId="3" borderId="0" xfId="0" applyFont="1" applyFill="1"/>
    <xf numFmtId="0" fontId="1" fillId="4" borderId="0" xfId="0" applyFont="1" applyFill="1" applyAlignment="1">
      <alignment horizontal="left"/>
    </xf>
    <xf numFmtId="0" fontId="2" fillId="4" borderId="0" xfId="0" applyFont="1" applyFill="1"/>
    <xf numFmtId="0" fontId="1" fillId="3" borderId="0" xfId="0" applyFont="1" applyFill="1" applyAlignment="1">
      <alignment horizontal="center"/>
    </xf>
    <xf numFmtId="10" fontId="1" fillId="4" borderId="0" xfId="0" applyNumberFormat="1" applyFont="1" applyFill="1" applyAlignment="1">
      <alignment horizontal="center"/>
    </xf>
    <xf numFmtId="0" fontId="0" fillId="4" borderId="0" xfId="0" applyFill="1" applyAlignment="1">
      <alignment horizontal="center"/>
    </xf>
    <xf numFmtId="1" fontId="1" fillId="4" borderId="0" xfId="0" applyNumberFormat="1" applyFont="1" applyFill="1" applyAlignment="1">
      <alignment horizontal="center"/>
    </xf>
    <xf numFmtId="9" fontId="0" fillId="0" borderId="0" xfId="0" applyNumberFormat="1"/>
    <xf numFmtId="0" fontId="3" fillId="0" borderId="0" xfId="0" applyFont="1" applyAlignment="1">
      <alignment horizontal="left"/>
    </xf>
    <xf numFmtId="0" fontId="3" fillId="0" borderId="0" xfId="0" applyFont="1"/>
  </cellXfs>
  <cellStyles count="1">
    <cellStyle name="Normal" xfId="0" builtinId="0"/>
  </cellStyles>
  <dxfs count="20">
    <dxf>
      <numFmt numFmtId="2" formatCode="0.00"/>
    </dxf>
    <dxf>
      <numFmt numFmtId="165" formatCode="0.0000000"/>
    </dxf>
    <dxf>
      <numFmt numFmtId="13" formatCode="0%"/>
    </dxf>
    <dxf>
      <numFmt numFmtId="1" formatCode="0"/>
    </dxf>
    <dxf>
      <numFmt numFmtId="1" formatCode="0"/>
    </dxf>
    <dxf>
      <numFmt numFmtId="13" formatCode="0%"/>
    </dxf>
    <dxf>
      <numFmt numFmtId="1" formatCode="0"/>
    </dxf>
    <dxf>
      <numFmt numFmtId="2" formatCode="0.00"/>
    </dxf>
    <dxf>
      <numFmt numFmtId="1" formatCode="0"/>
    </dxf>
    <dxf>
      <numFmt numFmtId="164" formatCode="0.000"/>
    </dxf>
    <dxf>
      <numFmt numFmtId="2" formatCode="0.00"/>
    </dxf>
    <dxf>
      <numFmt numFmtId="165" formatCode="0.0000000"/>
    </dxf>
    <dxf>
      <numFmt numFmtId="1" formatCode="0"/>
    </dxf>
    <dxf>
      <numFmt numFmtId="1" formatCode="0"/>
    </dxf>
    <dxf>
      <numFmt numFmtId="14" formatCode="0.00%"/>
    </dxf>
    <dxf>
      <numFmt numFmtId="164" formatCode="0.000"/>
    </dxf>
    <dxf>
      <numFmt numFmtId="13" formatCode="0%"/>
    </dxf>
    <dxf>
      <numFmt numFmtId="1" formatCode="0"/>
    </dxf>
    <dxf>
      <font>
        <b val="0"/>
        <i val="0"/>
        <sz val="9"/>
        <color theme="8" tint="0.59996337778862885"/>
        <name val="Calibri"/>
        <family val="2"/>
        <scheme val="minor"/>
      </font>
    </dxf>
    <dxf>
      <fill>
        <patternFill>
          <bgColor theme="7"/>
        </patternFill>
      </fill>
      <border diagonalUp="0" diagonalDown="0">
        <left/>
        <right/>
        <top/>
        <bottom/>
        <vertical/>
        <horizontal/>
      </border>
    </dxf>
  </dxfs>
  <tableStyles count="2" defaultTableStyle="TableStyleMedium2" defaultPivotStyle="PivotStyleLight16">
    <tableStyle name="Slicer Style 1" pivot="0" table="0" count="1" xr9:uid="{404B0AE8-164E-4457-8D2C-89A046BAE092}">
      <tableStyleElement type="wholeTable" dxfId="19"/>
    </tableStyle>
    <tableStyle name="Style 1" pivot="0" table="0" count="1" xr9:uid="{F41EFC1B-4352-4AD4-A53B-9D781D947A7E}">
      <tableStyleElement type="wholeTable" dxfId="18"/>
    </tableStyle>
  </tableStyles>
  <extLst>
    <ext xmlns:x14="http://schemas.microsoft.com/office/spreadsheetml/2009/9/main" uri="{EB79DEF2-80B8-43e5-95BD-54CBDDF9020C}">
      <x14:slicerStyles defaultSlicerStyle="SlicerStyleLight1">
        <x14:slicerStyle name="Slicer Style 1"/>
        <x14:slicerStyle name="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2.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65548098434004454"/>
              <c:y val="9.1324200913241976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72930648769574946"/>
              <c:y val="9.8934550989345504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86743609103654"/>
          <c:y val="4.5687710088870473E-2"/>
          <c:w val="0.59199263398526802"/>
          <c:h val="0.71354166666666663"/>
        </c:manualLayout>
      </c:layout>
      <c:barChart>
        <c:barDir val="bar"/>
        <c:grouping val="clustered"/>
        <c:varyColors val="0"/>
        <c:ser>
          <c:idx val="0"/>
          <c:order val="0"/>
          <c:tx>
            <c:strRef>
              <c:f>'pivot report'!$C$43</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report'!$B$44:$B$46</c:f>
              <c:strCache>
                <c:ptCount val="2"/>
                <c:pt idx="0">
                  <c:v>Admitted</c:v>
                </c:pt>
                <c:pt idx="1">
                  <c:v>Not Admitted</c:v>
                </c:pt>
              </c:strCache>
            </c:strRef>
          </c:cat>
          <c:val>
            <c:numRef>
              <c:f>'pivot report'!$C$44:$C$46</c:f>
              <c:numCache>
                <c:formatCode>0</c:formatCode>
                <c:ptCount val="2"/>
                <c:pt idx="0">
                  <c:v>269</c:v>
                </c:pt>
                <c:pt idx="1">
                  <c:v>244</c:v>
                </c:pt>
              </c:numCache>
            </c:numRef>
          </c:val>
          <c:extLst>
            <c:ext xmlns:c16="http://schemas.microsoft.com/office/drawing/2014/chart" uri="{C3380CC4-5D6E-409C-BE32-E72D297353CC}">
              <c16:uniqueId val="{00000005-6C50-4E44-9EF1-62FF3D8853FE}"/>
            </c:ext>
          </c:extLst>
        </c:ser>
        <c:ser>
          <c:idx val="1"/>
          <c:order val="1"/>
          <c:tx>
            <c:strRef>
              <c:f>'pivot report'!$D$43</c:f>
              <c:strCache>
                <c:ptCount val="1"/>
                <c:pt idx="0">
                  <c:v>Count of Patient Admission Flag2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F1FA-4B9D-9B36-33A586ACEFF6}"/>
              </c:ext>
            </c:extLst>
          </c:dPt>
          <c:dPt>
            <c:idx val="1"/>
            <c:invertIfNegative val="0"/>
            <c:bubble3D val="0"/>
            <c:extLst>
              <c:ext xmlns:c16="http://schemas.microsoft.com/office/drawing/2014/chart" uri="{C3380CC4-5D6E-409C-BE32-E72D297353CC}">
                <c16:uniqueId val="{00000001-F1FA-4B9D-9B36-33A586ACEFF6}"/>
              </c:ext>
            </c:extLst>
          </c:dPt>
          <c:dLbls>
            <c:dLbl>
              <c:idx val="0"/>
              <c:layout>
                <c:manualLayout>
                  <c:x val="0.72930648769574946"/>
                  <c:y val="9.89345509893455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FA-4B9D-9B36-33A586ACEFF6}"/>
                </c:ext>
              </c:extLst>
            </c:dLbl>
            <c:dLbl>
              <c:idx val="1"/>
              <c:layout>
                <c:manualLayout>
                  <c:x val="0.65548098434004454"/>
                  <c:y val="9.13242009132419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FA-4B9D-9B36-33A586ACEFF6}"/>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report'!$B$44:$B$46</c:f>
              <c:strCache>
                <c:ptCount val="2"/>
                <c:pt idx="0">
                  <c:v>Admitted</c:v>
                </c:pt>
                <c:pt idx="1">
                  <c:v>Not Admitted</c:v>
                </c:pt>
              </c:strCache>
            </c:strRef>
          </c:cat>
          <c:val>
            <c:numRef>
              <c:f>'pivot report'!$D$44:$D$46</c:f>
              <c:numCache>
                <c:formatCode>0.00%</c:formatCode>
                <c:ptCount val="2"/>
                <c:pt idx="0">
                  <c:v>0.52436647173489281</c:v>
                </c:pt>
                <c:pt idx="1">
                  <c:v>0.47563352826510719</c:v>
                </c:pt>
              </c:numCache>
            </c:numRef>
          </c:val>
          <c:extLst>
            <c:ext xmlns:c16="http://schemas.microsoft.com/office/drawing/2014/chart" uri="{C3380CC4-5D6E-409C-BE32-E72D297353CC}">
              <c16:uniqueId val="{00000006-6C50-4E44-9EF1-62FF3D8853FE}"/>
            </c:ext>
          </c:extLst>
        </c:ser>
        <c:dLbls>
          <c:dLblPos val="outEnd"/>
          <c:showLegendKey val="0"/>
          <c:showVal val="1"/>
          <c:showCatName val="0"/>
          <c:showSerName val="0"/>
          <c:showPercent val="0"/>
          <c:showBubbleSize val="0"/>
        </c:dLbls>
        <c:gapWidth val="182"/>
        <c:axId val="731114703"/>
        <c:axId val="761978543"/>
      </c:barChart>
      <c:catAx>
        <c:axId val="731114703"/>
        <c:scaling>
          <c:orientation val="minMax"/>
        </c:scaling>
        <c:delete val="0"/>
        <c:axPos val="l"/>
        <c:numFmt formatCode="General" sourceLinked="1"/>
        <c:majorTickMark val="none"/>
        <c:minorTickMark val="none"/>
        <c:tickLblPos val="nextTo"/>
        <c:spPr>
          <a:solidFill>
            <a:schemeClr val="bg1">
              <a:lumMod val="9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761978543"/>
        <c:crosses val="autoZero"/>
        <c:auto val="1"/>
        <c:lblAlgn val="ctr"/>
        <c:lblOffset val="100"/>
        <c:noMultiLvlLbl val="0"/>
      </c:catAx>
      <c:valAx>
        <c:axId val="761978543"/>
        <c:scaling>
          <c:orientation val="minMax"/>
        </c:scaling>
        <c:delete val="1"/>
        <c:axPos val="b"/>
        <c:numFmt formatCode="0" sourceLinked="1"/>
        <c:majorTickMark val="none"/>
        <c:minorTickMark val="none"/>
        <c:tickLblPos val="nextTo"/>
        <c:crossAx val="731114703"/>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87497184050463E-2"/>
          <c:y val="0.12895375261024444"/>
          <c:w val="0.97551250281594959"/>
          <c:h val="0.75729147941758035"/>
        </c:manualLayout>
      </c:layout>
      <c:areaChart>
        <c:grouping val="standard"/>
        <c:varyColors val="0"/>
        <c:ser>
          <c:idx val="0"/>
          <c:order val="0"/>
          <c:tx>
            <c:strRef>
              <c:f>'pivot report'!$E$9</c:f>
              <c:strCache>
                <c:ptCount val="1"/>
                <c:pt idx="0">
                  <c:v>Total</c:v>
                </c:pt>
              </c:strCache>
            </c:strRef>
          </c:tx>
          <c:spPr>
            <a:solidFill>
              <a:schemeClr val="accent1"/>
            </a:solidFill>
            <a:ln w="25400">
              <a:noFill/>
            </a:ln>
            <a:effectLst/>
          </c:spPr>
          <c:cat>
            <c:strRef>
              <c:f>'pivot report'!$D$10:$D$41</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report'!$E$10:$E$41</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D720-4854-BE95-BB4C299A3BDE}"/>
            </c:ext>
          </c:extLst>
        </c:ser>
        <c:dLbls>
          <c:showLegendKey val="0"/>
          <c:showVal val="0"/>
          <c:showCatName val="0"/>
          <c:showSerName val="0"/>
          <c:showPercent val="0"/>
          <c:showBubbleSize val="0"/>
        </c:dLbls>
        <c:axId val="442291023"/>
        <c:axId val="761859983"/>
      </c:areaChart>
      <c:catAx>
        <c:axId val="442291023"/>
        <c:scaling>
          <c:orientation val="minMax"/>
        </c:scaling>
        <c:delete val="1"/>
        <c:axPos val="b"/>
        <c:numFmt formatCode="General" sourceLinked="1"/>
        <c:majorTickMark val="out"/>
        <c:minorTickMark val="none"/>
        <c:tickLblPos val="nextTo"/>
        <c:crossAx val="761859983"/>
        <c:crosses val="autoZero"/>
        <c:auto val="1"/>
        <c:lblAlgn val="ctr"/>
        <c:lblOffset val="100"/>
        <c:noMultiLvlLbl val="0"/>
      </c:catAx>
      <c:valAx>
        <c:axId val="761859983"/>
        <c:scaling>
          <c:orientation val="minMax"/>
        </c:scaling>
        <c:delete val="1"/>
        <c:axPos val="l"/>
        <c:numFmt formatCode="General" sourceLinked="1"/>
        <c:majorTickMark val="none"/>
        <c:minorTickMark val="none"/>
        <c:tickLblPos val="nextTo"/>
        <c:crossAx val="442291023"/>
        <c:crosses val="autoZero"/>
        <c:crossBetween val="midCat"/>
      </c:valAx>
      <c:spPr>
        <a:solidFill>
          <a:schemeClr val="accent5">
            <a:lumMod val="40000"/>
            <a:lumOff val="6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4375749768953E-3"/>
          <c:y val="2.8033051647464259E-2"/>
          <c:w val="0.99513902678665678"/>
          <c:h val="0.93585534622960742"/>
        </c:manualLayout>
      </c:layout>
      <c:areaChart>
        <c:grouping val="standard"/>
        <c:varyColors val="0"/>
        <c:ser>
          <c:idx val="0"/>
          <c:order val="0"/>
          <c:tx>
            <c:strRef>
              <c:f>'pivot report'!$H$9</c:f>
              <c:strCache>
                <c:ptCount val="1"/>
                <c:pt idx="0">
                  <c:v>Total</c:v>
                </c:pt>
              </c:strCache>
            </c:strRef>
          </c:tx>
          <c:spPr>
            <a:solidFill>
              <a:schemeClr val="accent1"/>
            </a:solidFill>
            <a:ln w="25400">
              <a:noFill/>
            </a:ln>
            <a:effectLst/>
          </c:spPr>
          <c:cat>
            <c:strRef>
              <c:f>'pivot report'!$G$10:$G$41</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report'!$H$10:$H$41</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6418-4D78-A5DF-25A6AFADB6EB}"/>
            </c:ext>
          </c:extLst>
        </c:ser>
        <c:dLbls>
          <c:showLegendKey val="0"/>
          <c:showVal val="0"/>
          <c:showCatName val="0"/>
          <c:showSerName val="0"/>
          <c:showPercent val="0"/>
          <c:showBubbleSize val="0"/>
        </c:dLbls>
        <c:axId val="730871567"/>
        <c:axId val="761848943"/>
      </c:areaChart>
      <c:catAx>
        <c:axId val="730871567"/>
        <c:scaling>
          <c:orientation val="minMax"/>
        </c:scaling>
        <c:delete val="1"/>
        <c:axPos val="b"/>
        <c:numFmt formatCode="General" sourceLinked="1"/>
        <c:majorTickMark val="out"/>
        <c:minorTickMark val="none"/>
        <c:tickLblPos val="nextTo"/>
        <c:crossAx val="761848943"/>
        <c:crosses val="autoZero"/>
        <c:auto val="1"/>
        <c:lblAlgn val="ctr"/>
        <c:lblOffset val="100"/>
        <c:noMultiLvlLbl val="0"/>
      </c:catAx>
      <c:valAx>
        <c:axId val="761848943"/>
        <c:scaling>
          <c:orientation val="minMax"/>
        </c:scaling>
        <c:delete val="1"/>
        <c:axPos val="l"/>
        <c:numFmt formatCode="0.00" sourceLinked="1"/>
        <c:majorTickMark val="none"/>
        <c:minorTickMark val="none"/>
        <c:tickLblPos val="nextTo"/>
        <c:crossAx val="73087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report!PivotTable9</c:name>
    <c:fmtId val="3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06733819304352E-2"/>
          <c:y val="7.4999999999999997E-2"/>
          <c:w val="0.98539326618069567"/>
          <c:h val="0.9"/>
        </c:manualLayout>
      </c:layout>
      <c:areaChart>
        <c:grouping val="standard"/>
        <c:varyColors val="0"/>
        <c:ser>
          <c:idx val="0"/>
          <c:order val="0"/>
          <c:tx>
            <c:strRef>
              <c:f>'pivot report'!$K$9</c:f>
              <c:strCache>
                <c:ptCount val="1"/>
                <c:pt idx="0">
                  <c:v>Total</c:v>
                </c:pt>
              </c:strCache>
            </c:strRef>
          </c:tx>
          <c:spPr>
            <a:solidFill>
              <a:schemeClr val="accent1"/>
            </a:solidFill>
            <a:ln w="25400">
              <a:noFill/>
            </a:ln>
            <a:effectLst/>
          </c:spPr>
          <c:cat>
            <c:strRef>
              <c:f>'pivot report'!$J$10:$J$41</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report'!$K$10:$K$41</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B707-4743-9145-A2C36EF04942}"/>
            </c:ext>
          </c:extLst>
        </c:ser>
        <c:dLbls>
          <c:showLegendKey val="0"/>
          <c:showVal val="0"/>
          <c:showCatName val="0"/>
          <c:showSerName val="0"/>
          <c:showPercent val="0"/>
          <c:showBubbleSize val="0"/>
        </c:dLbls>
        <c:axId val="731007519"/>
        <c:axId val="761873903"/>
      </c:areaChart>
      <c:catAx>
        <c:axId val="731007519"/>
        <c:scaling>
          <c:orientation val="minMax"/>
        </c:scaling>
        <c:delete val="1"/>
        <c:axPos val="b"/>
        <c:numFmt formatCode="General" sourceLinked="1"/>
        <c:majorTickMark val="out"/>
        <c:minorTickMark val="none"/>
        <c:tickLblPos val="nextTo"/>
        <c:crossAx val="761873903"/>
        <c:crosses val="autoZero"/>
        <c:auto val="1"/>
        <c:lblAlgn val="ctr"/>
        <c:lblOffset val="100"/>
        <c:noMultiLvlLbl val="0"/>
      </c:catAx>
      <c:valAx>
        <c:axId val="761873903"/>
        <c:scaling>
          <c:orientation val="minMax"/>
        </c:scaling>
        <c:delete val="1"/>
        <c:axPos val="l"/>
        <c:numFmt formatCode="0.00" sourceLinked="1"/>
        <c:majorTickMark val="none"/>
        <c:minorTickMark val="none"/>
        <c:tickLblPos val="nextTo"/>
        <c:crossAx val="731007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86772315531587E-2"/>
          <c:y val="2.2941179658338997E-2"/>
          <c:w val="0.95698528166549379"/>
          <c:h val="0.70789555922587666"/>
        </c:manualLayout>
      </c:layout>
      <c:barChart>
        <c:barDir val="col"/>
        <c:grouping val="clustered"/>
        <c:varyColors val="0"/>
        <c:ser>
          <c:idx val="0"/>
          <c:order val="0"/>
          <c:tx>
            <c:strRef>
              <c:f>'pivot report'!$C$54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report'!$B$55:$B$63</c:f>
              <c:strCache>
                <c:ptCount val="8"/>
                <c:pt idx="0">
                  <c:v>0-9</c:v>
                </c:pt>
                <c:pt idx="1">
                  <c:v>10-19</c:v>
                </c:pt>
                <c:pt idx="2">
                  <c:v>20-29</c:v>
                </c:pt>
                <c:pt idx="3">
                  <c:v>30-39</c:v>
                </c:pt>
                <c:pt idx="4">
                  <c:v>40-49</c:v>
                </c:pt>
                <c:pt idx="5">
                  <c:v>50-59</c:v>
                </c:pt>
                <c:pt idx="6">
                  <c:v>60-69</c:v>
                </c:pt>
                <c:pt idx="7">
                  <c:v>70-79</c:v>
                </c:pt>
              </c:strCache>
            </c:strRef>
          </c:cat>
          <c:val>
            <c:numRef>
              <c:f>'pivot report'!$C$55:$C$63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7C6F-41F7-A2D1-88467F5E98FA}"/>
            </c:ext>
          </c:extLst>
        </c:ser>
        <c:dLbls>
          <c:dLblPos val="outEnd"/>
          <c:showLegendKey val="0"/>
          <c:showVal val="1"/>
          <c:showCatName val="0"/>
          <c:showSerName val="0"/>
          <c:showPercent val="0"/>
          <c:showBubbleSize val="0"/>
        </c:dLbls>
        <c:gapWidth val="219"/>
        <c:overlap val="-27"/>
        <c:axId val="1794424031"/>
        <c:axId val="1603041903"/>
      </c:barChart>
      <c:catAx>
        <c:axId val="179442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41903"/>
        <c:crosses val="autoZero"/>
        <c:auto val="1"/>
        <c:lblAlgn val="ctr"/>
        <c:lblOffset val="100"/>
        <c:noMultiLvlLbl val="0"/>
      </c:catAx>
      <c:valAx>
        <c:axId val="1603041903"/>
        <c:scaling>
          <c:orientation val="minMax"/>
        </c:scaling>
        <c:delete val="1"/>
        <c:axPos val="l"/>
        <c:numFmt formatCode="0" sourceLinked="1"/>
        <c:majorTickMark val="none"/>
        <c:minorTickMark val="none"/>
        <c:tickLblPos val="nextTo"/>
        <c:crossAx val="179442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report!PivotTable6</c:name>
    <c:fmtId val="13"/>
  </c:pivotSource>
  <c:chart>
    <c:autoTitleDeleted val="1"/>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297729CF-AD60-4311-A086-1E4EAC498362}"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EFE9CB02-C7CB-4869-9B58-7ADA35CC236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8512329839964551"/>
          <c:y val="0.18584638352504584"/>
          <c:w val="0.57291969373769847"/>
          <c:h val="0.65665367848280376"/>
        </c:manualLayout>
      </c:layout>
      <c:pieChart>
        <c:varyColors val="1"/>
        <c:ser>
          <c:idx val="0"/>
          <c:order val="0"/>
          <c:tx>
            <c:strRef>
              <c:f>'pivot report'!$F$54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185-40FA-8DBA-2C6A1107DCE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185-40FA-8DBA-2C6A1107DCE3}"/>
              </c:ext>
            </c:extLst>
          </c:dPt>
          <c:dLbls>
            <c:dLbl>
              <c:idx val="0"/>
              <c:tx>
                <c:rich>
                  <a:bodyPr/>
                  <a:lstStyle/>
                  <a:p>
                    <a:r>
                      <a:rPr lang="en-US" baseline="0"/>
                      <a:t> </a:t>
                    </a:r>
                    <a:fld id="{297729CF-AD60-4311-A086-1E4EAC498362}"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185-40FA-8DBA-2C6A1107DCE3}"/>
                </c:ext>
              </c:extLst>
            </c:dLbl>
            <c:dLbl>
              <c:idx val="1"/>
              <c:tx>
                <c:rich>
                  <a:bodyPr/>
                  <a:lstStyle/>
                  <a:p>
                    <a:r>
                      <a:rPr lang="en-US" baseline="0"/>
                      <a:t> </a:t>
                    </a:r>
                    <a:fld id="{EFE9CB02-C7CB-4869-9B58-7ADA35CC2361}"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185-40FA-8DBA-2C6A1107DC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report'!$E$55:$E$57</c:f>
              <c:strCache>
                <c:ptCount val="2"/>
                <c:pt idx="0">
                  <c:v> OnTime</c:v>
                </c:pt>
                <c:pt idx="1">
                  <c:v>Delay</c:v>
                </c:pt>
              </c:strCache>
            </c:strRef>
          </c:cat>
          <c:val>
            <c:numRef>
              <c:f>'pivot report'!$F$55:$F$57</c:f>
              <c:numCache>
                <c:formatCode>0</c:formatCode>
                <c:ptCount val="2"/>
                <c:pt idx="0">
                  <c:v>197</c:v>
                </c:pt>
                <c:pt idx="1">
                  <c:v>316</c:v>
                </c:pt>
              </c:numCache>
            </c:numRef>
          </c:val>
          <c:extLst>
            <c:ext xmlns:c16="http://schemas.microsoft.com/office/drawing/2014/chart" uri="{C3380CC4-5D6E-409C-BE32-E72D297353CC}">
              <c16:uniqueId val="{0000000D-98BE-42B2-BBCD-3E07D9B1BA2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7.9104708319164066E-2"/>
          <c:y val="3.5826753819609241E-4"/>
          <c:w val="0.82274090332952055"/>
          <c:h val="0.25215681176011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report!PivotTable7</c:name>
    <c:fmtId val="21"/>
  </c:pivotSource>
  <c:chart>
    <c:autoTitleDeleted val="1"/>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85A423B-0F4C-45A5-AEA7-CCF474D84490}" type="VALUE">
                  <a:rPr lang="en-US"/>
                  <a:pPr>
                    <a:defRPr/>
                  </a:pPr>
                  <a:t>[VALUE]</a:t>
                </a:fld>
                <a:r>
                  <a:rPr lang="en-US" baseline="0"/>
                  <a:t>,</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6E2BDF1B-65FC-4687-BA21-5FECA4524746}"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945328730656513"/>
          <c:y val="0.20465695756884061"/>
          <c:w val="0.55766610318106058"/>
          <c:h val="0.68281209196158277"/>
        </c:manualLayout>
      </c:layout>
      <c:doughnutChart>
        <c:varyColors val="1"/>
        <c:ser>
          <c:idx val="0"/>
          <c:order val="0"/>
          <c:tx>
            <c:strRef>
              <c:f>'pivot report'!$F$60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963-4416-9BA4-912B4D5EEC0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963-4416-9BA4-912B4D5EEC07}"/>
              </c:ext>
            </c:extLst>
          </c:dPt>
          <c:dLbls>
            <c:dLbl>
              <c:idx val="0"/>
              <c:tx>
                <c:rich>
                  <a:bodyPr/>
                  <a:lstStyle/>
                  <a:p>
                    <a:fld id="{C85A423B-0F4C-45A5-AEA7-CCF474D84490}" type="VALUE">
                      <a:rPr lang="en-US"/>
                      <a:pPr/>
                      <a:t>[VALUE]</a:t>
                    </a:fld>
                    <a:r>
                      <a:rPr lang="en-US" baseline="0"/>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963-4416-9BA4-912B4D5EEC07}"/>
                </c:ext>
              </c:extLst>
            </c:dLbl>
            <c:dLbl>
              <c:idx val="1"/>
              <c:tx>
                <c:rich>
                  <a:bodyPr/>
                  <a:lstStyle/>
                  <a:p>
                    <a:fld id="{6E2BDF1B-65FC-4687-BA21-5FECA4524746}"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963-4416-9BA4-912B4D5EEC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report'!$E$61:$E$63</c:f>
              <c:strCache>
                <c:ptCount val="2"/>
                <c:pt idx="0">
                  <c:v>Female</c:v>
                </c:pt>
                <c:pt idx="1">
                  <c:v>Male</c:v>
                </c:pt>
              </c:strCache>
            </c:strRef>
          </c:cat>
          <c:val>
            <c:numRef>
              <c:f>'pivot report'!$F$61:$F$63</c:f>
              <c:numCache>
                <c:formatCode>0</c:formatCode>
                <c:ptCount val="2"/>
                <c:pt idx="0">
                  <c:v>241</c:v>
                </c:pt>
                <c:pt idx="1">
                  <c:v>272</c:v>
                </c:pt>
              </c:numCache>
            </c:numRef>
          </c:val>
          <c:extLst>
            <c:ext xmlns:c16="http://schemas.microsoft.com/office/drawing/2014/chart" uri="{C3380CC4-5D6E-409C-BE32-E72D297353CC}">
              <c16:uniqueId val="{0000000D-650B-4667-8666-E39D803C2F7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1.2167931876170081E-2"/>
          <c:y val="1.9428673675658521E-3"/>
          <c:w val="0.90005075320120398"/>
          <c:h val="0.19768887040458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report!PivotTable11</c:name>
    <c:fmtId val="2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89176353410392"/>
          <c:y val="5.9418262460290354E-2"/>
          <c:w val="0.70682861452606238"/>
          <c:h val="0.82714687284279176"/>
        </c:manualLayout>
      </c:layout>
      <c:barChart>
        <c:barDir val="bar"/>
        <c:grouping val="clustered"/>
        <c:varyColors val="0"/>
        <c:ser>
          <c:idx val="0"/>
          <c:order val="0"/>
          <c:tx>
            <c:strRef>
              <c:f>'pivot report'!$F$66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report'!$E$67:$E$75</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'pivot report'!$F$67:$F$75</c:f>
              <c:numCache>
                <c:formatCode>0</c:formatCode>
                <c:ptCount val="8"/>
                <c:pt idx="0">
                  <c:v>5</c:v>
                </c:pt>
                <c:pt idx="1">
                  <c:v>14</c:v>
                </c:pt>
                <c:pt idx="2">
                  <c:v>65</c:v>
                </c:pt>
                <c:pt idx="3">
                  <c:v>299</c:v>
                </c:pt>
                <c:pt idx="4">
                  <c:v>9</c:v>
                </c:pt>
                <c:pt idx="5">
                  <c:v>103</c:v>
                </c:pt>
                <c:pt idx="6">
                  <c:v>4</c:v>
                </c:pt>
                <c:pt idx="7">
                  <c:v>14</c:v>
                </c:pt>
              </c:numCache>
            </c:numRef>
          </c:val>
          <c:extLst>
            <c:ext xmlns:c16="http://schemas.microsoft.com/office/drawing/2014/chart" uri="{C3380CC4-5D6E-409C-BE32-E72D297353CC}">
              <c16:uniqueId val="{00000005-6770-4AB7-BAC2-0CF3D2E678CD}"/>
            </c:ext>
          </c:extLst>
        </c:ser>
        <c:dLbls>
          <c:showLegendKey val="0"/>
          <c:showVal val="0"/>
          <c:showCatName val="0"/>
          <c:showSerName val="0"/>
          <c:showPercent val="0"/>
          <c:showBubbleSize val="0"/>
        </c:dLbls>
        <c:gapWidth val="182"/>
        <c:axId val="1793151439"/>
        <c:axId val="1843515055"/>
      </c:barChart>
      <c:catAx>
        <c:axId val="179315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3515055"/>
        <c:crosses val="autoZero"/>
        <c:auto val="1"/>
        <c:lblAlgn val="ctr"/>
        <c:lblOffset val="100"/>
        <c:noMultiLvlLbl val="0"/>
      </c:catAx>
      <c:valAx>
        <c:axId val="1843515055"/>
        <c:scaling>
          <c:orientation val="minMax"/>
        </c:scaling>
        <c:delete val="1"/>
        <c:axPos val="b"/>
        <c:numFmt formatCode="0" sourceLinked="1"/>
        <c:majorTickMark val="none"/>
        <c:minorTickMark val="none"/>
        <c:tickLblPos val="nextTo"/>
        <c:crossAx val="179315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27730611885805E-2"/>
          <c:y val="2.976190476190476E-2"/>
          <c:w val="0.92101643719116111"/>
          <c:h val="0.82939632545931763"/>
        </c:manualLayout>
      </c:layout>
      <c:areaChart>
        <c:grouping val="standard"/>
        <c:varyColors val="0"/>
        <c:ser>
          <c:idx val="0"/>
          <c:order val="0"/>
          <c:tx>
            <c:strRef>
              <c:f>'pivot report'!$E$9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report'!$D$10:$D$41</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report'!$E$10:$E$41</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A525-4D32-B513-8500388BDF2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42291023"/>
        <c:axId val="761859983"/>
      </c:areaChart>
      <c:catAx>
        <c:axId val="4422910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1859983"/>
        <c:crosses val="autoZero"/>
        <c:auto val="1"/>
        <c:lblAlgn val="ctr"/>
        <c:lblOffset val="100"/>
        <c:noMultiLvlLbl val="0"/>
      </c:catAx>
      <c:valAx>
        <c:axId val="761859983"/>
        <c:scaling>
          <c:orientation val="minMax"/>
        </c:scaling>
        <c:delete val="1"/>
        <c:axPos val="l"/>
        <c:numFmt formatCode="General" sourceLinked="1"/>
        <c:majorTickMark val="out"/>
        <c:minorTickMark val="none"/>
        <c:tickLblPos val="nextTo"/>
        <c:crossAx val="442291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report!PivotTable8</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4375749768953E-3"/>
          <c:y val="2.8033051647464259E-2"/>
          <c:w val="0.99513902678665678"/>
          <c:h val="0.93585534622960742"/>
        </c:manualLayout>
      </c:layout>
      <c:areaChart>
        <c:grouping val="standard"/>
        <c:varyColors val="0"/>
        <c:ser>
          <c:idx val="0"/>
          <c:order val="0"/>
          <c:tx>
            <c:strRef>
              <c:f>'pivot report'!$H$9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report'!$G$10:$G$41</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report'!$H$10:$H$41</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85B2-44B2-8C6E-EB5A361525D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30871567"/>
        <c:axId val="761848943"/>
      </c:areaChart>
      <c:catAx>
        <c:axId val="7308715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1848943"/>
        <c:crosses val="autoZero"/>
        <c:auto val="1"/>
        <c:lblAlgn val="ctr"/>
        <c:lblOffset val="100"/>
        <c:noMultiLvlLbl val="0"/>
      </c:catAx>
      <c:valAx>
        <c:axId val="761848943"/>
        <c:scaling>
          <c:orientation val="minMax"/>
        </c:scaling>
        <c:delete val="1"/>
        <c:axPos val="l"/>
        <c:numFmt formatCode="0.00" sourceLinked="1"/>
        <c:majorTickMark val="out"/>
        <c:minorTickMark val="none"/>
        <c:tickLblPos val="nextTo"/>
        <c:crossAx val="73087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report!PivotTable9</c:name>
    <c:fmtId val="37"/>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06733819304352E-2"/>
          <c:y val="7.4999999999999997E-2"/>
          <c:w val="0.98539326618069567"/>
          <c:h val="0.9"/>
        </c:manualLayout>
      </c:layout>
      <c:areaChart>
        <c:grouping val="standard"/>
        <c:varyColors val="0"/>
        <c:ser>
          <c:idx val="0"/>
          <c:order val="0"/>
          <c:tx>
            <c:strRef>
              <c:f>'pivot report'!$K$9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report'!$J$10:$J$41</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report'!$K$10:$K$41</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7F7E-43DE-8F14-55A04C4CEFD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31007519"/>
        <c:axId val="761873903"/>
      </c:areaChart>
      <c:catAx>
        <c:axId val="7310075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10" b="1" i="0" u="none" strike="noStrike" kern="1200" baseline="0">
                <a:solidFill>
                  <a:schemeClr val="lt1"/>
                </a:solidFill>
                <a:latin typeface="+mn-lt"/>
                <a:ea typeface="+mn-ea"/>
                <a:cs typeface="+mn-cs"/>
              </a:defRPr>
            </a:pPr>
            <a:endParaRPr lang="en-US"/>
          </a:p>
        </c:txPr>
        <c:crossAx val="761873903"/>
        <c:crosses val="autoZero"/>
        <c:auto val="1"/>
        <c:lblAlgn val="ctr"/>
        <c:lblOffset val="100"/>
        <c:noMultiLvlLbl val="0"/>
      </c:catAx>
      <c:valAx>
        <c:axId val="761873903"/>
        <c:scaling>
          <c:orientation val="minMax"/>
        </c:scaling>
        <c:delete val="1"/>
        <c:axPos val="l"/>
        <c:numFmt formatCode="0.00" sourceLinked="1"/>
        <c:majorTickMark val="out"/>
        <c:minorTickMark val="none"/>
        <c:tickLblPos val="nextTo"/>
        <c:crossAx val="731007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visit patient'!A1"/><Relationship Id="rId13" Type="http://schemas.openxmlformats.org/officeDocument/2006/relationships/chart" Target="../charts/chart4.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Avg Satisfacton score '!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Daily Avg Waittime'!A1"/><Relationship Id="rId19"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hyperlink" Target="#'pivot report'!B49"/></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 Sheet'!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 Sheet'!A1"/></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 Sheet'!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1013460</xdr:colOff>
      <xdr:row>49</xdr:row>
      <xdr:rowOff>7620</xdr:rowOff>
    </xdr:from>
    <xdr:to>
      <xdr:col>5</xdr:col>
      <xdr:colOff>7620</xdr:colOff>
      <xdr:row>51</xdr:row>
      <xdr:rowOff>76200</xdr:rowOff>
    </xdr:to>
    <xdr:graphicFrame macro="">
      <xdr:nvGraphicFramePr>
        <xdr:cNvPr id="9" name="Chart 8">
          <a:extLst>
            <a:ext uri="{FF2B5EF4-FFF2-40B4-BE49-F238E27FC236}">
              <a16:creationId xmlns:a16="http://schemas.microsoft.com/office/drawing/2014/main" id="{36C215B1-674E-5941-74C0-779F36A73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91179</xdr:colOff>
      <xdr:row>0</xdr:row>
      <xdr:rowOff>71641</xdr:rowOff>
    </xdr:from>
    <xdr:to>
      <xdr:col>6</xdr:col>
      <xdr:colOff>280051</xdr:colOff>
      <xdr:row>3</xdr:row>
      <xdr:rowOff>123744</xdr:rowOff>
    </xdr:to>
    <xdr:sp macro="" textlink="">
      <xdr:nvSpPr>
        <xdr:cNvPr id="2" name="Rectangle: Rounded Corners 1">
          <a:extLst>
            <a:ext uri="{FF2B5EF4-FFF2-40B4-BE49-F238E27FC236}">
              <a16:creationId xmlns:a16="http://schemas.microsoft.com/office/drawing/2014/main" id="{5DAB9B96-FEAB-5EAB-854C-095271741761}"/>
            </a:ext>
          </a:extLst>
        </xdr:cNvPr>
        <xdr:cNvSpPr/>
      </xdr:nvSpPr>
      <xdr:spPr>
        <a:xfrm>
          <a:off x="91179" y="71641"/>
          <a:ext cx="3862103" cy="599180"/>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573129</xdr:colOff>
      <xdr:row>0</xdr:row>
      <xdr:rowOff>78153</xdr:rowOff>
    </xdr:from>
    <xdr:to>
      <xdr:col>8</xdr:col>
      <xdr:colOff>521027</xdr:colOff>
      <xdr:row>3</xdr:row>
      <xdr:rowOff>65128</xdr:rowOff>
    </xdr:to>
    <xdr:sp macro="" textlink="">
      <xdr:nvSpPr>
        <xdr:cNvPr id="3" name="Rectangle: Rounded Corners 2">
          <a:extLst>
            <a:ext uri="{FF2B5EF4-FFF2-40B4-BE49-F238E27FC236}">
              <a16:creationId xmlns:a16="http://schemas.microsoft.com/office/drawing/2014/main" id="{8A55D52E-69EF-4E48-858F-2B3818B9A611}"/>
            </a:ext>
          </a:extLst>
        </xdr:cNvPr>
        <xdr:cNvSpPr/>
      </xdr:nvSpPr>
      <xdr:spPr>
        <a:xfrm>
          <a:off x="4246360" y="78153"/>
          <a:ext cx="1172308" cy="534052"/>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32564</xdr:colOff>
      <xdr:row>0</xdr:row>
      <xdr:rowOff>97692</xdr:rowOff>
    </xdr:from>
    <xdr:to>
      <xdr:col>12</xdr:col>
      <xdr:colOff>84666</xdr:colOff>
      <xdr:row>9</xdr:row>
      <xdr:rowOff>156307</xdr:rowOff>
    </xdr:to>
    <xdr:sp macro="" textlink="">
      <xdr:nvSpPr>
        <xdr:cNvPr id="4" name="Rectangle: Rounded Corners 3">
          <a:extLst>
            <a:ext uri="{FF2B5EF4-FFF2-40B4-BE49-F238E27FC236}">
              <a16:creationId xmlns:a16="http://schemas.microsoft.com/office/drawing/2014/main" id="{6D7F627E-C071-253C-2470-318EBA6B1018}"/>
            </a:ext>
          </a:extLst>
        </xdr:cNvPr>
        <xdr:cNvSpPr/>
      </xdr:nvSpPr>
      <xdr:spPr>
        <a:xfrm>
          <a:off x="5542410" y="97692"/>
          <a:ext cx="1888718" cy="1699846"/>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182359</xdr:colOff>
      <xdr:row>0</xdr:row>
      <xdr:rowOff>91179</xdr:rowOff>
    </xdr:from>
    <xdr:to>
      <xdr:col>15</xdr:col>
      <xdr:colOff>227948</xdr:colOff>
      <xdr:row>9</xdr:row>
      <xdr:rowOff>162819</xdr:rowOff>
    </xdr:to>
    <xdr:sp macro="" textlink="">
      <xdr:nvSpPr>
        <xdr:cNvPr id="5" name="Rectangle: Rounded Corners 4">
          <a:extLst>
            <a:ext uri="{FF2B5EF4-FFF2-40B4-BE49-F238E27FC236}">
              <a16:creationId xmlns:a16="http://schemas.microsoft.com/office/drawing/2014/main" id="{501002D8-9D9D-4DCF-9353-CC8A20CFADF0}"/>
            </a:ext>
          </a:extLst>
        </xdr:cNvPr>
        <xdr:cNvSpPr/>
      </xdr:nvSpPr>
      <xdr:spPr>
        <a:xfrm>
          <a:off x="7528821" y="91179"/>
          <a:ext cx="1882204" cy="1712871"/>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312615</xdr:colOff>
      <xdr:row>0</xdr:row>
      <xdr:rowOff>97691</xdr:rowOff>
    </xdr:from>
    <xdr:to>
      <xdr:col>17</xdr:col>
      <xdr:colOff>247487</xdr:colOff>
      <xdr:row>20</xdr:row>
      <xdr:rowOff>136769</xdr:rowOff>
    </xdr:to>
    <xdr:sp macro="" textlink="">
      <xdr:nvSpPr>
        <xdr:cNvPr id="6" name="Rectangle: Rounded Corners 5">
          <a:extLst>
            <a:ext uri="{FF2B5EF4-FFF2-40B4-BE49-F238E27FC236}">
              <a16:creationId xmlns:a16="http://schemas.microsoft.com/office/drawing/2014/main" id="{985061FF-2B85-4B28-8FDE-9A4C062D71B2}"/>
            </a:ext>
          </a:extLst>
        </xdr:cNvPr>
        <xdr:cNvSpPr/>
      </xdr:nvSpPr>
      <xdr:spPr>
        <a:xfrm>
          <a:off x="9495692" y="97691"/>
          <a:ext cx="1159282" cy="3686257"/>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78154</xdr:colOff>
      <xdr:row>3</xdr:row>
      <xdr:rowOff>149796</xdr:rowOff>
    </xdr:from>
    <xdr:to>
      <xdr:col>3</xdr:col>
      <xdr:colOff>32564</xdr:colOff>
      <xdr:row>8</xdr:row>
      <xdr:rowOff>6513</xdr:rowOff>
    </xdr:to>
    <xdr:sp macro="" textlink="">
      <xdr:nvSpPr>
        <xdr:cNvPr id="7" name="Rectangle: Rounded Corners 6">
          <a:extLst>
            <a:ext uri="{FF2B5EF4-FFF2-40B4-BE49-F238E27FC236}">
              <a16:creationId xmlns:a16="http://schemas.microsoft.com/office/drawing/2014/main" id="{7337D36D-9CC8-4FCF-8722-8767519F6200}"/>
            </a:ext>
          </a:extLst>
        </xdr:cNvPr>
        <xdr:cNvSpPr/>
      </xdr:nvSpPr>
      <xdr:spPr>
        <a:xfrm>
          <a:off x="78154" y="696873"/>
          <a:ext cx="1791025" cy="768512"/>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79824</xdr:colOff>
      <xdr:row>3</xdr:row>
      <xdr:rowOff>156305</xdr:rowOff>
    </xdr:from>
    <xdr:to>
      <xdr:col>6</xdr:col>
      <xdr:colOff>0</xdr:colOff>
      <xdr:row>8</xdr:row>
      <xdr:rowOff>0</xdr:rowOff>
    </xdr:to>
    <xdr:sp macro="" textlink="">
      <xdr:nvSpPr>
        <xdr:cNvPr id="8" name="Rectangle: Rounded Corners 7">
          <a:extLst>
            <a:ext uri="{FF2B5EF4-FFF2-40B4-BE49-F238E27FC236}">
              <a16:creationId xmlns:a16="http://schemas.microsoft.com/office/drawing/2014/main" id="{B1E59CDE-BCB0-4C41-B8DC-754773EED713}"/>
            </a:ext>
          </a:extLst>
        </xdr:cNvPr>
        <xdr:cNvSpPr/>
      </xdr:nvSpPr>
      <xdr:spPr>
        <a:xfrm>
          <a:off x="1916439" y="703382"/>
          <a:ext cx="1756792" cy="755490"/>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58615</xdr:colOff>
      <xdr:row>3</xdr:row>
      <xdr:rowOff>162819</xdr:rowOff>
    </xdr:from>
    <xdr:to>
      <xdr:col>8</xdr:col>
      <xdr:colOff>547076</xdr:colOff>
      <xdr:row>8</xdr:row>
      <xdr:rowOff>0</xdr:rowOff>
    </xdr:to>
    <xdr:sp macro="" textlink="">
      <xdr:nvSpPr>
        <xdr:cNvPr id="9" name="Rectangle: Rounded Corners 8">
          <a:extLst>
            <a:ext uri="{FF2B5EF4-FFF2-40B4-BE49-F238E27FC236}">
              <a16:creationId xmlns:a16="http://schemas.microsoft.com/office/drawing/2014/main" id="{83353DD1-52EF-4602-AC36-939647DC5F39}"/>
            </a:ext>
          </a:extLst>
        </xdr:cNvPr>
        <xdr:cNvSpPr/>
      </xdr:nvSpPr>
      <xdr:spPr>
        <a:xfrm>
          <a:off x="3731846" y="709896"/>
          <a:ext cx="1712871" cy="748976"/>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65128</xdr:colOff>
      <xdr:row>0</xdr:row>
      <xdr:rowOff>58615</xdr:rowOff>
    </xdr:from>
    <xdr:to>
      <xdr:col>0</xdr:col>
      <xdr:colOff>71641</xdr:colOff>
      <xdr:row>20</xdr:row>
      <xdr:rowOff>117231</xdr:rowOff>
    </xdr:to>
    <xdr:cxnSp macro="">
      <xdr:nvCxnSpPr>
        <xdr:cNvPr id="21" name="Straight Connector 20">
          <a:extLst>
            <a:ext uri="{FF2B5EF4-FFF2-40B4-BE49-F238E27FC236}">
              <a16:creationId xmlns:a16="http://schemas.microsoft.com/office/drawing/2014/main" id="{7F70C332-E72A-2E1D-F4B2-F2953E5F97DD}"/>
            </a:ext>
          </a:extLst>
        </xdr:cNvPr>
        <xdr:cNvCxnSpPr/>
      </xdr:nvCxnSpPr>
      <xdr:spPr>
        <a:xfrm flipH="1">
          <a:off x="65128" y="58615"/>
          <a:ext cx="6513" cy="370579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10</xdr:row>
      <xdr:rowOff>32565</xdr:rowOff>
    </xdr:from>
    <xdr:to>
      <xdr:col>15</xdr:col>
      <xdr:colOff>267025</xdr:colOff>
      <xdr:row>17</xdr:row>
      <xdr:rowOff>104205</xdr:rowOff>
    </xdr:to>
    <xdr:sp macro="" textlink="">
      <xdr:nvSpPr>
        <xdr:cNvPr id="22" name="Rectangle: Rounded Corners 21">
          <a:extLst>
            <a:ext uri="{FF2B5EF4-FFF2-40B4-BE49-F238E27FC236}">
              <a16:creationId xmlns:a16="http://schemas.microsoft.com/office/drawing/2014/main" id="{E4FA3DFD-949C-45CA-984B-05DAECE1DA37}"/>
            </a:ext>
          </a:extLst>
        </xdr:cNvPr>
        <xdr:cNvSpPr/>
      </xdr:nvSpPr>
      <xdr:spPr>
        <a:xfrm>
          <a:off x="5509846" y="1856155"/>
          <a:ext cx="3940256" cy="1348153"/>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169332</xdr:colOff>
      <xdr:row>0</xdr:row>
      <xdr:rowOff>136770</xdr:rowOff>
    </xdr:from>
    <xdr:to>
      <xdr:col>6</xdr:col>
      <xdr:colOff>110717</xdr:colOff>
      <xdr:row>2</xdr:row>
      <xdr:rowOff>13026</xdr:rowOff>
    </xdr:to>
    <xdr:sp macro="" textlink="">
      <xdr:nvSpPr>
        <xdr:cNvPr id="23" name="TextBox 22">
          <a:extLst>
            <a:ext uri="{FF2B5EF4-FFF2-40B4-BE49-F238E27FC236}">
              <a16:creationId xmlns:a16="http://schemas.microsoft.com/office/drawing/2014/main" id="{FDC6F0E9-A553-F93B-1404-0677D0A91509}"/>
            </a:ext>
          </a:extLst>
        </xdr:cNvPr>
        <xdr:cNvSpPr txBox="1"/>
      </xdr:nvSpPr>
      <xdr:spPr>
        <a:xfrm>
          <a:off x="781537" y="136770"/>
          <a:ext cx="3002411" cy="24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Hospital Emergency </a:t>
          </a:r>
          <a:r>
            <a:rPr lang="en-IN" sz="1200" b="1">
              <a:ln>
                <a:noFill/>
              </a:ln>
            </a:rPr>
            <a:t>Department</a:t>
          </a:r>
          <a:r>
            <a:rPr lang="en-IN" sz="1200" b="1"/>
            <a:t> Dashboard</a:t>
          </a:r>
        </a:p>
      </xdr:txBody>
    </xdr:sp>
    <xdr:clientData/>
  </xdr:twoCellAnchor>
  <xdr:twoCellAnchor editAs="oneCell">
    <xdr:from>
      <xdr:col>0</xdr:col>
      <xdr:colOff>0</xdr:colOff>
      <xdr:row>0</xdr:row>
      <xdr:rowOff>97691</xdr:rowOff>
    </xdr:from>
    <xdr:to>
      <xdr:col>1</xdr:col>
      <xdr:colOff>240974</xdr:colOff>
      <xdr:row>3</xdr:row>
      <xdr:rowOff>26050</xdr:rowOff>
    </xdr:to>
    <xdr:pic>
      <xdr:nvPicPr>
        <xdr:cNvPr id="25" name="Picture 24">
          <a:extLst>
            <a:ext uri="{FF2B5EF4-FFF2-40B4-BE49-F238E27FC236}">
              <a16:creationId xmlns:a16="http://schemas.microsoft.com/office/drawing/2014/main" id="{CF274D05-EE4D-0B70-7D7F-48CB268828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129" b="5376"/>
        <a:stretch>
          <a:fillRect/>
        </a:stretch>
      </xdr:blipFill>
      <xdr:spPr>
        <a:xfrm>
          <a:off x="0" y="97691"/>
          <a:ext cx="853179" cy="475436"/>
        </a:xfrm>
        <a:prstGeom prst="rect">
          <a:avLst/>
        </a:prstGeom>
      </xdr:spPr>
    </xdr:pic>
    <xdr:clientData/>
  </xdr:twoCellAnchor>
  <xdr:twoCellAnchor>
    <xdr:from>
      <xdr:col>0</xdr:col>
      <xdr:colOff>136769</xdr:colOff>
      <xdr:row>5</xdr:row>
      <xdr:rowOff>6514</xdr:rowOff>
    </xdr:from>
    <xdr:to>
      <xdr:col>2</xdr:col>
      <xdr:colOff>586154</xdr:colOff>
      <xdr:row>6</xdr:row>
      <xdr:rowOff>65129</xdr:rowOff>
    </xdr:to>
    <xdr:sp macro="" textlink="">
      <xdr:nvSpPr>
        <xdr:cNvPr id="29" name="TextBox 28">
          <a:extLst>
            <a:ext uri="{FF2B5EF4-FFF2-40B4-BE49-F238E27FC236}">
              <a16:creationId xmlns:a16="http://schemas.microsoft.com/office/drawing/2014/main" id="{197CA466-E075-CACA-B3D6-F4380CCC2254}"/>
            </a:ext>
          </a:extLst>
        </xdr:cNvPr>
        <xdr:cNvSpPr txBox="1"/>
      </xdr:nvSpPr>
      <xdr:spPr>
        <a:xfrm>
          <a:off x="136769" y="918309"/>
          <a:ext cx="1673795" cy="240974"/>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Number Of Patients</a:t>
          </a:r>
        </a:p>
      </xdr:txBody>
    </xdr:sp>
    <xdr:clientData/>
  </xdr:twoCellAnchor>
  <xdr:twoCellAnchor>
    <xdr:from>
      <xdr:col>0</xdr:col>
      <xdr:colOff>436360</xdr:colOff>
      <xdr:row>3</xdr:row>
      <xdr:rowOff>149793</xdr:rowOff>
    </xdr:from>
    <xdr:to>
      <xdr:col>2</xdr:col>
      <xdr:colOff>319130</xdr:colOff>
      <xdr:row>5</xdr:row>
      <xdr:rowOff>45589</xdr:rowOff>
    </xdr:to>
    <xdr:sp macro="" textlink="'pivot report'!B9">
      <xdr:nvSpPr>
        <xdr:cNvPr id="32" name="TextBox 31">
          <a:extLst>
            <a:ext uri="{FF2B5EF4-FFF2-40B4-BE49-F238E27FC236}">
              <a16:creationId xmlns:a16="http://schemas.microsoft.com/office/drawing/2014/main" id="{16CD60BC-9E78-4380-B870-06C15ED62577}"/>
            </a:ext>
          </a:extLst>
        </xdr:cNvPr>
        <xdr:cNvSpPr txBox="1"/>
      </xdr:nvSpPr>
      <xdr:spPr>
        <a:xfrm>
          <a:off x="436360" y="696870"/>
          <a:ext cx="1107180" cy="260514"/>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03160A-A210-44BA-A633-45F68D0BAD5A}" type="TxLink">
            <a:rPr lang="en-US" sz="1200" b="1" i="0" u="none" strike="noStrike">
              <a:solidFill>
                <a:srgbClr val="000000"/>
              </a:solidFill>
              <a:latin typeface="Calibri"/>
              <a:ea typeface="Calibri"/>
              <a:cs typeface="Calibri"/>
            </a:rPr>
            <a:pPr algn="ctr"/>
            <a:t>513</a:t>
          </a:fld>
          <a:endParaRPr lang="en-IN" sz="1200" b="1"/>
        </a:p>
      </xdr:txBody>
    </xdr:sp>
    <xdr:clientData/>
  </xdr:twoCellAnchor>
  <xdr:twoCellAnchor>
    <xdr:from>
      <xdr:col>3</xdr:col>
      <xdr:colOff>130257</xdr:colOff>
      <xdr:row>4</xdr:row>
      <xdr:rowOff>175846</xdr:rowOff>
    </xdr:from>
    <xdr:to>
      <xdr:col>5</xdr:col>
      <xdr:colOff>540564</xdr:colOff>
      <xdr:row>6</xdr:row>
      <xdr:rowOff>26051</xdr:rowOff>
    </xdr:to>
    <xdr:sp macro="" textlink="">
      <xdr:nvSpPr>
        <xdr:cNvPr id="33" name="TextBox 32">
          <a:extLst>
            <a:ext uri="{FF2B5EF4-FFF2-40B4-BE49-F238E27FC236}">
              <a16:creationId xmlns:a16="http://schemas.microsoft.com/office/drawing/2014/main" id="{E23B0268-0B91-5899-D5DF-8CDCB867DA5A}"/>
            </a:ext>
          </a:extLst>
        </xdr:cNvPr>
        <xdr:cNvSpPr txBox="1"/>
      </xdr:nvSpPr>
      <xdr:spPr>
        <a:xfrm>
          <a:off x="1966872" y="905282"/>
          <a:ext cx="1634718" cy="214923"/>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a:t>
          </a:r>
          <a:r>
            <a:rPr lang="en-IN" sz="1200" b="1" baseline="0"/>
            <a:t> Wait Time</a:t>
          </a:r>
          <a:endParaRPr lang="en-IN" sz="1200" b="1"/>
        </a:p>
      </xdr:txBody>
    </xdr:sp>
    <xdr:clientData/>
  </xdr:twoCellAnchor>
  <xdr:twoCellAnchor>
    <xdr:from>
      <xdr:col>3</xdr:col>
      <xdr:colOff>384256</xdr:colOff>
      <xdr:row>3</xdr:row>
      <xdr:rowOff>182358</xdr:rowOff>
    </xdr:from>
    <xdr:to>
      <xdr:col>5</xdr:col>
      <xdr:colOff>267025</xdr:colOff>
      <xdr:row>5</xdr:row>
      <xdr:rowOff>78154</xdr:rowOff>
    </xdr:to>
    <xdr:sp macro="" textlink="'pivot report'!B12">
      <xdr:nvSpPr>
        <xdr:cNvPr id="34" name="TextBox 33">
          <a:extLst>
            <a:ext uri="{FF2B5EF4-FFF2-40B4-BE49-F238E27FC236}">
              <a16:creationId xmlns:a16="http://schemas.microsoft.com/office/drawing/2014/main" id="{43BC444F-073D-1193-965C-EE6BCF9AFC40}"/>
            </a:ext>
          </a:extLst>
        </xdr:cNvPr>
        <xdr:cNvSpPr txBox="1"/>
      </xdr:nvSpPr>
      <xdr:spPr>
        <a:xfrm>
          <a:off x="2220871" y="729435"/>
          <a:ext cx="1107180" cy="260514"/>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9FAA88-56D3-4EA2-B15E-2C1096AF393A}" type="TxLink">
            <a:rPr lang="en-US" sz="1200" b="1" i="0" u="none" strike="noStrike">
              <a:solidFill>
                <a:srgbClr val="000000"/>
              </a:solidFill>
              <a:latin typeface="Calibri"/>
              <a:ea typeface="Calibri"/>
              <a:cs typeface="Calibri"/>
            </a:rPr>
            <a:pPr algn="ctr"/>
            <a:t>36.32</a:t>
          </a:fld>
          <a:endParaRPr lang="en-IN" sz="1200" b="1"/>
        </a:p>
      </xdr:txBody>
    </xdr:sp>
    <xdr:clientData/>
  </xdr:twoCellAnchor>
  <xdr:twoCellAnchor>
    <xdr:from>
      <xdr:col>6</xdr:col>
      <xdr:colOff>143282</xdr:colOff>
      <xdr:row>5</xdr:row>
      <xdr:rowOff>6513</xdr:rowOff>
    </xdr:from>
    <xdr:to>
      <xdr:col>8</xdr:col>
      <xdr:colOff>468923</xdr:colOff>
      <xdr:row>6</xdr:row>
      <xdr:rowOff>143282</xdr:rowOff>
    </xdr:to>
    <xdr:sp macro="" textlink="">
      <xdr:nvSpPr>
        <xdr:cNvPr id="35" name="TextBox 34">
          <a:extLst>
            <a:ext uri="{FF2B5EF4-FFF2-40B4-BE49-F238E27FC236}">
              <a16:creationId xmlns:a16="http://schemas.microsoft.com/office/drawing/2014/main" id="{4291BDFC-9CE2-2ABE-A1CC-5F0CB4233625}"/>
            </a:ext>
          </a:extLst>
        </xdr:cNvPr>
        <xdr:cNvSpPr txBox="1"/>
      </xdr:nvSpPr>
      <xdr:spPr>
        <a:xfrm>
          <a:off x="3816513" y="918308"/>
          <a:ext cx="1550051" cy="319128"/>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Satisfaction Rating</a:t>
          </a:r>
          <a:r>
            <a:rPr lang="en-IN" sz="1200" b="1" baseline="0"/>
            <a:t> </a:t>
          </a:r>
          <a:endParaRPr lang="en-IN" sz="1200" b="1"/>
        </a:p>
      </xdr:txBody>
    </xdr:sp>
    <xdr:clientData/>
  </xdr:twoCellAnchor>
  <xdr:twoCellAnchor>
    <xdr:from>
      <xdr:col>6</xdr:col>
      <xdr:colOff>332154</xdr:colOff>
      <xdr:row>4</xdr:row>
      <xdr:rowOff>19537</xdr:rowOff>
    </xdr:from>
    <xdr:to>
      <xdr:col>8</xdr:col>
      <xdr:colOff>214924</xdr:colOff>
      <xdr:row>5</xdr:row>
      <xdr:rowOff>65127</xdr:rowOff>
    </xdr:to>
    <xdr:sp macro="" textlink="'pivot report'!B16">
      <xdr:nvSpPr>
        <xdr:cNvPr id="36" name="TextBox 35">
          <a:extLst>
            <a:ext uri="{FF2B5EF4-FFF2-40B4-BE49-F238E27FC236}">
              <a16:creationId xmlns:a16="http://schemas.microsoft.com/office/drawing/2014/main" id="{DD911ECD-394F-A1CC-A7F2-D1788C285A2B}"/>
            </a:ext>
          </a:extLst>
        </xdr:cNvPr>
        <xdr:cNvSpPr txBox="1"/>
      </xdr:nvSpPr>
      <xdr:spPr>
        <a:xfrm>
          <a:off x="4005385" y="748973"/>
          <a:ext cx="1107180" cy="227949"/>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8F8B35-1B8F-4423-B3B3-2102FF65958C}" type="TxLink">
            <a:rPr lang="en-US" sz="1200" b="1" i="0" u="none" strike="noStrike">
              <a:solidFill>
                <a:srgbClr val="000000"/>
              </a:solidFill>
              <a:latin typeface="Calibri"/>
              <a:ea typeface="Calibri"/>
              <a:cs typeface="Calibri"/>
            </a:rPr>
            <a:pPr algn="ctr"/>
            <a:t>4.959</a:t>
          </a:fld>
          <a:endParaRPr lang="en-IN" sz="1200" b="1"/>
        </a:p>
      </xdr:txBody>
    </xdr:sp>
    <xdr:clientData/>
  </xdr:twoCellAnchor>
  <xdr:twoCellAnchor editAs="oneCell">
    <xdr:from>
      <xdr:col>0</xdr:col>
      <xdr:colOff>78154</xdr:colOff>
      <xdr:row>3</xdr:row>
      <xdr:rowOff>136769</xdr:rowOff>
    </xdr:from>
    <xdr:to>
      <xdr:col>0</xdr:col>
      <xdr:colOff>534052</xdr:colOff>
      <xdr:row>5</xdr:row>
      <xdr:rowOff>169333</xdr:rowOff>
    </xdr:to>
    <xdr:pic>
      <xdr:nvPicPr>
        <xdr:cNvPr id="38" name="Graphic 37" descr="Medical with solid fill">
          <a:extLst>
            <a:ext uri="{FF2B5EF4-FFF2-40B4-BE49-F238E27FC236}">
              <a16:creationId xmlns:a16="http://schemas.microsoft.com/office/drawing/2014/main" id="{6A55B377-24E9-DD32-57E2-A630354AE7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154" y="683846"/>
          <a:ext cx="455898" cy="397282"/>
        </a:xfrm>
        <a:prstGeom prst="rect">
          <a:avLst/>
        </a:prstGeom>
      </xdr:spPr>
    </xdr:pic>
    <xdr:clientData/>
  </xdr:twoCellAnchor>
  <xdr:twoCellAnchor editAs="oneCell">
    <xdr:from>
      <xdr:col>3</xdr:col>
      <xdr:colOff>104207</xdr:colOff>
      <xdr:row>3</xdr:row>
      <xdr:rowOff>104205</xdr:rowOff>
    </xdr:from>
    <xdr:to>
      <xdr:col>3</xdr:col>
      <xdr:colOff>534053</xdr:colOff>
      <xdr:row>5</xdr:row>
      <xdr:rowOff>71641</xdr:rowOff>
    </xdr:to>
    <xdr:pic>
      <xdr:nvPicPr>
        <xdr:cNvPr id="43" name="Graphic 42" descr="Stopwatch with solid fill">
          <a:extLst>
            <a:ext uri="{FF2B5EF4-FFF2-40B4-BE49-F238E27FC236}">
              <a16:creationId xmlns:a16="http://schemas.microsoft.com/office/drawing/2014/main" id="{F91E1FE2-45E8-D4C4-970C-F48384A9562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40822" y="651282"/>
          <a:ext cx="429846" cy="332154"/>
        </a:xfrm>
        <a:prstGeom prst="rect">
          <a:avLst/>
        </a:prstGeom>
      </xdr:spPr>
    </xdr:pic>
    <xdr:clientData/>
  </xdr:twoCellAnchor>
  <xdr:twoCellAnchor editAs="oneCell">
    <xdr:from>
      <xdr:col>6</xdr:col>
      <xdr:colOff>65128</xdr:colOff>
      <xdr:row>3</xdr:row>
      <xdr:rowOff>175846</xdr:rowOff>
    </xdr:from>
    <xdr:to>
      <xdr:col>6</xdr:col>
      <xdr:colOff>468923</xdr:colOff>
      <xdr:row>5</xdr:row>
      <xdr:rowOff>39077</xdr:rowOff>
    </xdr:to>
    <xdr:pic>
      <xdr:nvPicPr>
        <xdr:cNvPr id="45" name="Graphic 44" descr="Checklist with solid fill">
          <a:extLst>
            <a:ext uri="{FF2B5EF4-FFF2-40B4-BE49-F238E27FC236}">
              <a16:creationId xmlns:a16="http://schemas.microsoft.com/office/drawing/2014/main" id="{0C3DF02B-CEEB-48AF-FAEF-52C1E4C3745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38359" y="722923"/>
          <a:ext cx="403795" cy="227949"/>
        </a:xfrm>
        <a:prstGeom prst="rect">
          <a:avLst/>
        </a:prstGeom>
      </xdr:spPr>
    </xdr:pic>
    <xdr:clientData/>
  </xdr:twoCellAnchor>
  <xdr:twoCellAnchor>
    <xdr:from>
      <xdr:col>1</xdr:col>
      <xdr:colOff>195385</xdr:colOff>
      <xdr:row>1</xdr:row>
      <xdr:rowOff>169333</xdr:rowOff>
    </xdr:from>
    <xdr:to>
      <xdr:col>5</xdr:col>
      <xdr:colOff>573128</xdr:colOff>
      <xdr:row>2</xdr:row>
      <xdr:rowOff>162820</xdr:rowOff>
    </xdr:to>
    <xdr:sp macro="" textlink="">
      <xdr:nvSpPr>
        <xdr:cNvPr id="46" name="TextBox 45">
          <a:extLst>
            <a:ext uri="{FF2B5EF4-FFF2-40B4-BE49-F238E27FC236}">
              <a16:creationId xmlns:a16="http://schemas.microsoft.com/office/drawing/2014/main" id="{97E156E8-FA64-1999-CAF1-670A68D38B34}"/>
            </a:ext>
          </a:extLst>
        </xdr:cNvPr>
        <xdr:cNvSpPr txBox="1"/>
      </xdr:nvSpPr>
      <xdr:spPr>
        <a:xfrm>
          <a:off x="807590" y="351692"/>
          <a:ext cx="2826564" cy="1758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Monthly</a:t>
          </a:r>
          <a:r>
            <a:rPr lang="en-IN" sz="1200" b="1" baseline="0"/>
            <a:t> Report</a:t>
          </a:r>
          <a:endParaRPr lang="en-IN" sz="1200" b="1"/>
        </a:p>
      </xdr:txBody>
    </xdr:sp>
    <xdr:clientData/>
  </xdr:twoCellAnchor>
  <xdr:twoCellAnchor editAs="oneCell">
    <xdr:from>
      <xdr:col>15</xdr:col>
      <xdr:colOff>403796</xdr:colOff>
      <xdr:row>0</xdr:row>
      <xdr:rowOff>169335</xdr:rowOff>
    </xdr:from>
    <xdr:to>
      <xdr:col>17</xdr:col>
      <xdr:colOff>187386</xdr:colOff>
      <xdr:row>20</xdr:row>
      <xdr:rowOff>50156</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1F55E1D4-9E35-4D6E-938C-9C0428405EC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586873" y="169335"/>
              <a:ext cx="1008000" cy="35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123745</xdr:colOff>
      <xdr:row>6</xdr:row>
      <xdr:rowOff>71641</xdr:rowOff>
    </xdr:from>
    <xdr:to>
      <xdr:col>2</xdr:col>
      <xdr:colOff>586155</xdr:colOff>
      <xdr:row>7</xdr:row>
      <xdr:rowOff>84666</xdr:rowOff>
    </xdr:to>
    <xdr:graphicFrame macro="">
      <xdr:nvGraphicFramePr>
        <xdr:cNvPr id="50" name="Chart 49">
          <a:hlinkClick xmlns:r="http://schemas.openxmlformats.org/officeDocument/2006/relationships" r:id="rId8"/>
          <a:extLst>
            <a:ext uri="{FF2B5EF4-FFF2-40B4-BE49-F238E27FC236}">
              <a16:creationId xmlns:a16="http://schemas.microsoft.com/office/drawing/2014/main" id="{DA58AF61-1F8D-4CAD-B11E-EBCC82A01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97693</xdr:colOff>
      <xdr:row>6</xdr:row>
      <xdr:rowOff>52102</xdr:rowOff>
    </xdr:from>
    <xdr:to>
      <xdr:col>5</xdr:col>
      <xdr:colOff>566615</xdr:colOff>
      <xdr:row>7</xdr:row>
      <xdr:rowOff>91178</xdr:rowOff>
    </xdr:to>
    <xdr:graphicFrame macro="">
      <xdr:nvGraphicFramePr>
        <xdr:cNvPr id="53" name="Chart 52">
          <a:hlinkClick xmlns:r="http://schemas.openxmlformats.org/officeDocument/2006/relationships" r:id="rId10"/>
          <a:extLst>
            <a:ext uri="{FF2B5EF4-FFF2-40B4-BE49-F238E27FC236}">
              <a16:creationId xmlns:a16="http://schemas.microsoft.com/office/drawing/2014/main" id="{C6758D0C-F2F9-4C5B-8ED0-C21AE0FB5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52102</xdr:colOff>
      <xdr:row>6</xdr:row>
      <xdr:rowOff>58615</xdr:rowOff>
    </xdr:from>
    <xdr:to>
      <xdr:col>8</xdr:col>
      <xdr:colOff>508000</xdr:colOff>
      <xdr:row>7</xdr:row>
      <xdr:rowOff>110716</xdr:rowOff>
    </xdr:to>
    <xdr:graphicFrame macro="">
      <xdr:nvGraphicFramePr>
        <xdr:cNvPr id="54" name="Chart 53">
          <a:hlinkClick xmlns:r="http://schemas.openxmlformats.org/officeDocument/2006/relationships" r:id="rId12"/>
          <a:extLst>
            <a:ext uri="{FF2B5EF4-FFF2-40B4-BE49-F238E27FC236}">
              <a16:creationId xmlns:a16="http://schemas.microsoft.com/office/drawing/2014/main" id="{EEE29361-2118-4942-9180-77BF25548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65127</xdr:colOff>
          <xdr:row>8</xdr:row>
          <xdr:rowOff>84665</xdr:rowOff>
        </xdr:from>
        <xdr:to>
          <xdr:col>8</xdr:col>
          <xdr:colOff>521025</xdr:colOff>
          <xdr:row>13</xdr:row>
          <xdr:rowOff>130255</xdr:rowOff>
        </xdr:to>
        <xdr:pic>
          <xdr:nvPicPr>
            <xdr:cNvPr id="30" name="Picture 29">
              <a:hlinkClick xmlns:r="http://schemas.openxmlformats.org/officeDocument/2006/relationships" r:id="rId14"/>
              <a:extLst>
                <a:ext uri="{FF2B5EF4-FFF2-40B4-BE49-F238E27FC236}">
                  <a16:creationId xmlns:a16="http://schemas.microsoft.com/office/drawing/2014/main" id="{C3370D21-7F5D-6849-9F95-0D8A6925E50D}"/>
                </a:ext>
              </a:extLst>
            </xdr:cNvPr>
            <xdr:cNvPicPr>
              <a:picLocks noChangeAspect="1" noChangeArrowheads="1"/>
              <a:extLst>
                <a:ext uri="{84589F7E-364E-4C9E-8A38-B11213B215E9}">
                  <a14:cameraTool cellRange="'pivot report'!$B$49:$E$52" spid="_x0000_s2125"/>
                </a:ext>
              </a:extLst>
            </xdr:cNvPicPr>
          </xdr:nvPicPr>
          <xdr:blipFill>
            <a:blip xmlns:r="http://schemas.openxmlformats.org/officeDocument/2006/relationships" r:embed="rId15"/>
            <a:srcRect/>
            <a:stretch>
              <a:fillRect/>
            </a:stretch>
          </xdr:blipFill>
          <xdr:spPr bwMode="auto">
            <a:xfrm>
              <a:off x="65127" y="1543537"/>
              <a:ext cx="5353539" cy="957385"/>
            </a:xfrm>
            <a:prstGeom prst="rect">
              <a:avLst/>
            </a:prstGeom>
            <a:ln>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0</xdr:col>
      <xdr:colOff>78155</xdr:colOff>
      <xdr:row>13</xdr:row>
      <xdr:rowOff>182358</xdr:rowOff>
    </xdr:from>
    <xdr:to>
      <xdr:col>8</xdr:col>
      <xdr:colOff>494974</xdr:colOff>
      <xdr:row>22</xdr:row>
      <xdr:rowOff>175847</xdr:rowOff>
    </xdr:to>
    <xdr:graphicFrame macro="">
      <xdr:nvGraphicFramePr>
        <xdr:cNvPr id="31" name="Chart 30">
          <a:extLst>
            <a:ext uri="{FF2B5EF4-FFF2-40B4-BE49-F238E27FC236}">
              <a16:creationId xmlns:a16="http://schemas.microsoft.com/office/drawing/2014/main" id="{76531212-88D6-4245-86B9-B03065D0E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325641</xdr:colOff>
      <xdr:row>21</xdr:row>
      <xdr:rowOff>136771</xdr:rowOff>
    </xdr:from>
    <xdr:to>
      <xdr:col>6</xdr:col>
      <xdr:colOff>267025</xdr:colOff>
      <xdr:row>22</xdr:row>
      <xdr:rowOff>149796</xdr:rowOff>
    </xdr:to>
    <xdr:sp macro="" textlink="">
      <xdr:nvSpPr>
        <xdr:cNvPr id="37" name="TextBox 36">
          <a:extLst>
            <a:ext uri="{FF2B5EF4-FFF2-40B4-BE49-F238E27FC236}">
              <a16:creationId xmlns:a16="http://schemas.microsoft.com/office/drawing/2014/main" id="{8A9AA5EC-9D5F-487A-9D7F-2595389C52B9}"/>
            </a:ext>
          </a:extLst>
        </xdr:cNvPr>
        <xdr:cNvSpPr txBox="1"/>
      </xdr:nvSpPr>
      <xdr:spPr>
        <a:xfrm>
          <a:off x="1550051" y="3966309"/>
          <a:ext cx="2390205" cy="195384"/>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t>No. Of Patients by Age group</a:t>
          </a:r>
        </a:p>
      </xdr:txBody>
    </xdr:sp>
    <xdr:clientData/>
  </xdr:twoCellAnchor>
  <xdr:twoCellAnchor>
    <xdr:from>
      <xdr:col>9</xdr:col>
      <xdr:colOff>26052</xdr:colOff>
      <xdr:row>0</xdr:row>
      <xdr:rowOff>97692</xdr:rowOff>
    </xdr:from>
    <xdr:to>
      <xdr:col>12</xdr:col>
      <xdr:colOff>130256</xdr:colOff>
      <xdr:row>9</xdr:row>
      <xdr:rowOff>149795</xdr:rowOff>
    </xdr:to>
    <xdr:graphicFrame macro="">
      <xdr:nvGraphicFramePr>
        <xdr:cNvPr id="39" name="Chart 38">
          <a:extLst>
            <a:ext uri="{FF2B5EF4-FFF2-40B4-BE49-F238E27FC236}">
              <a16:creationId xmlns:a16="http://schemas.microsoft.com/office/drawing/2014/main" id="{F6F1A545-338E-4B38-A229-747BE36D9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280051</xdr:colOff>
      <xdr:row>8</xdr:row>
      <xdr:rowOff>78155</xdr:rowOff>
    </xdr:from>
    <xdr:to>
      <xdr:col>12</xdr:col>
      <xdr:colOff>45589</xdr:colOff>
      <xdr:row>9</xdr:row>
      <xdr:rowOff>123744</xdr:rowOff>
    </xdr:to>
    <xdr:sp macro="" textlink="">
      <xdr:nvSpPr>
        <xdr:cNvPr id="42" name="TextBox 41">
          <a:extLst>
            <a:ext uri="{FF2B5EF4-FFF2-40B4-BE49-F238E27FC236}">
              <a16:creationId xmlns:a16="http://schemas.microsoft.com/office/drawing/2014/main" id="{6D3086D5-553C-A6EA-D94C-DE66230B20EB}"/>
            </a:ext>
          </a:extLst>
        </xdr:cNvPr>
        <xdr:cNvSpPr txBox="1"/>
      </xdr:nvSpPr>
      <xdr:spPr>
        <a:xfrm>
          <a:off x="5789897" y="1537027"/>
          <a:ext cx="1602154" cy="22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Patients Attended Status</a:t>
          </a:r>
        </a:p>
      </xdr:txBody>
    </xdr:sp>
    <xdr:clientData/>
  </xdr:twoCellAnchor>
  <xdr:twoCellAnchor>
    <xdr:from>
      <xdr:col>12</xdr:col>
      <xdr:colOff>182359</xdr:colOff>
      <xdr:row>0</xdr:row>
      <xdr:rowOff>78154</xdr:rowOff>
    </xdr:from>
    <xdr:to>
      <xdr:col>15</xdr:col>
      <xdr:colOff>234461</xdr:colOff>
      <xdr:row>9</xdr:row>
      <xdr:rowOff>156307</xdr:rowOff>
    </xdr:to>
    <xdr:graphicFrame macro="">
      <xdr:nvGraphicFramePr>
        <xdr:cNvPr id="44" name="Chart 43">
          <a:extLst>
            <a:ext uri="{FF2B5EF4-FFF2-40B4-BE49-F238E27FC236}">
              <a16:creationId xmlns:a16="http://schemas.microsoft.com/office/drawing/2014/main" id="{6A20D14B-0E08-4412-B7BA-DC083CEB9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527538</xdr:colOff>
      <xdr:row>8</xdr:row>
      <xdr:rowOff>84667</xdr:rowOff>
    </xdr:from>
    <xdr:to>
      <xdr:col>15</xdr:col>
      <xdr:colOff>293077</xdr:colOff>
      <xdr:row>9</xdr:row>
      <xdr:rowOff>130256</xdr:rowOff>
    </xdr:to>
    <xdr:sp macro="" textlink="">
      <xdr:nvSpPr>
        <xdr:cNvPr id="48" name="TextBox 47">
          <a:extLst>
            <a:ext uri="{FF2B5EF4-FFF2-40B4-BE49-F238E27FC236}">
              <a16:creationId xmlns:a16="http://schemas.microsoft.com/office/drawing/2014/main" id="{1A016E86-B222-4428-9FB2-A3DF2D5B62B7}"/>
            </a:ext>
          </a:extLst>
        </xdr:cNvPr>
        <xdr:cNvSpPr txBox="1"/>
      </xdr:nvSpPr>
      <xdr:spPr>
        <a:xfrm>
          <a:off x="7874000" y="1543539"/>
          <a:ext cx="1602154" cy="22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Gender</a:t>
          </a:r>
          <a:r>
            <a:rPr lang="en-IN" sz="1000" b="1" baseline="0"/>
            <a:t> wise Analysis</a:t>
          </a:r>
          <a:endParaRPr lang="en-IN" sz="1000" b="1"/>
        </a:p>
      </xdr:txBody>
    </xdr:sp>
    <xdr:clientData/>
  </xdr:twoCellAnchor>
  <xdr:twoCellAnchor>
    <xdr:from>
      <xdr:col>8</xdr:col>
      <xdr:colOff>599180</xdr:colOff>
      <xdr:row>10</xdr:row>
      <xdr:rowOff>13025</xdr:rowOff>
    </xdr:from>
    <xdr:to>
      <xdr:col>15</xdr:col>
      <xdr:colOff>273537</xdr:colOff>
      <xdr:row>22</xdr:row>
      <xdr:rowOff>175847</xdr:rowOff>
    </xdr:to>
    <xdr:graphicFrame macro="">
      <xdr:nvGraphicFramePr>
        <xdr:cNvPr id="49" name="Chart 48">
          <a:extLst>
            <a:ext uri="{FF2B5EF4-FFF2-40B4-BE49-F238E27FC236}">
              <a16:creationId xmlns:a16="http://schemas.microsoft.com/office/drawing/2014/main" id="{19E33F1D-6F2C-47E1-98E5-925455242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260514</xdr:colOff>
      <xdr:row>21</xdr:row>
      <xdr:rowOff>136770</xdr:rowOff>
    </xdr:from>
    <xdr:to>
      <xdr:col>14</xdr:col>
      <xdr:colOff>97692</xdr:colOff>
      <xdr:row>23</xdr:row>
      <xdr:rowOff>0</xdr:rowOff>
    </xdr:to>
    <xdr:sp macro="" textlink="">
      <xdr:nvSpPr>
        <xdr:cNvPr id="51" name="TextBox 50">
          <a:extLst>
            <a:ext uri="{FF2B5EF4-FFF2-40B4-BE49-F238E27FC236}">
              <a16:creationId xmlns:a16="http://schemas.microsoft.com/office/drawing/2014/main" id="{9F3E0157-DD40-4B2E-9970-F1E391A0A14B}"/>
            </a:ext>
          </a:extLst>
        </xdr:cNvPr>
        <xdr:cNvSpPr txBox="1"/>
      </xdr:nvSpPr>
      <xdr:spPr>
        <a:xfrm>
          <a:off x="6382565" y="3966308"/>
          <a:ext cx="2285999" cy="22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No.of Patient by Departmental Referal</a:t>
          </a:r>
        </a:p>
      </xdr:txBody>
    </xdr:sp>
    <xdr:clientData/>
  </xdr:twoCellAnchor>
  <xdr:twoCellAnchor editAs="oneCell">
    <xdr:from>
      <xdr:col>6</xdr:col>
      <xdr:colOff>299590</xdr:colOff>
      <xdr:row>0</xdr:row>
      <xdr:rowOff>65128</xdr:rowOff>
    </xdr:from>
    <xdr:to>
      <xdr:col>8</xdr:col>
      <xdr:colOff>536180</xdr:colOff>
      <xdr:row>3</xdr:row>
      <xdr:rowOff>110718</xdr:rowOff>
    </xdr:to>
    <mc:AlternateContent xmlns:mc="http://schemas.openxmlformats.org/markup-compatibility/2006" xmlns:a14="http://schemas.microsoft.com/office/drawing/2010/main">
      <mc:Choice Requires="a14">
        <xdr:graphicFrame macro="">
          <xdr:nvGraphicFramePr>
            <xdr:cNvPr id="52" name="Date (Year)">
              <a:extLst>
                <a:ext uri="{FF2B5EF4-FFF2-40B4-BE49-F238E27FC236}">
                  <a16:creationId xmlns:a16="http://schemas.microsoft.com/office/drawing/2014/main" id="{2D25BFCE-AD4F-41C8-8950-643E422DA46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972821" y="65128"/>
              <a:ext cx="1461000" cy="592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1</xdr:row>
      <xdr:rowOff>129540</xdr:rowOff>
    </xdr:from>
    <xdr:to>
      <xdr:col>15</xdr:col>
      <xdr:colOff>220980</xdr:colOff>
      <xdr:row>18</xdr:row>
      <xdr:rowOff>160020</xdr:rowOff>
    </xdr:to>
    <xdr:graphicFrame macro="">
      <xdr:nvGraphicFramePr>
        <xdr:cNvPr id="2" name="Chart 1">
          <a:extLst>
            <a:ext uri="{FF2B5EF4-FFF2-40B4-BE49-F238E27FC236}">
              <a16:creationId xmlns:a16="http://schemas.microsoft.com/office/drawing/2014/main" id="{B45909A5-7AA5-4BE1-A357-E85CCA92E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20</xdr:row>
      <xdr:rowOff>137160</xdr:rowOff>
    </xdr:from>
    <xdr:to>
      <xdr:col>10</xdr:col>
      <xdr:colOff>457200</xdr:colOff>
      <xdr:row>22</xdr:row>
      <xdr:rowOff>114300</xdr:rowOff>
    </xdr:to>
    <xdr:sp macro="" textlink="">
      <xdr:nvSpPr>
        <xdr:cNvPr id="3" name="TextBox 2">
          <a:extLst>
            <a:ext uri="{FF2B5EF4-FFF2-40B4-BE49-F238E27FC236}">
              <a16:creationId xmlns:a16="http://schemas.microsoft.com/office/drawing/2014/main" id="{510993ED-1DB3-5CCD-92C9-F95C892F90AF}"/>
            </a:ext>
          </a:extLst>
        </xdr:cNvPr>
        <xdr:cNvSpPr txBox="1"/>
      </xdr:nvSpPr>
      <xdr:spPr>
        <a:xfrm>
          <a:off x="1249680" y="3794760"/>
          <a:ext cx="530352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Showing daily busy trend with an Area sparkline to spot patterns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1.46303E-7</cdr:x>
      <cdr:y>2.90984E-7</cdr:y>
    </cdr:from>
    <cdr:to>
      <cdr:x>0.09476</cdr:x>
      <cdr:y>0.14634</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71340B3-6AA1-17EB-EE7B-7F0F5FF5F40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647700" cy="5029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15</xdr:col>
      <xdr:colOff>358140</xdr:colOff>
      <xdr:row>18</xdr:row>
      <xdr:rowOff>114300</xdr:rowOff>
    </xdr:to>
    <xdr:graphicFrame macro="">
      <xdr:nvGraphicFramePr>
        <xdr:cNvPr id="2" name="Chart 1">
          <a:extLst>
            <a:ext uri="{FF2B5EF4-FFF2-40B4-BE49-F238E27FC236}">
              <a16:creationId xmlns:a16="http://schemas.microsoft.com/office/drawing/2014/main" id="{B2D8FEDC-4F57-4E5E-9F75-1C3A11FA0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243840</xdr:colOff>
      <xdr:row>19</xdr:row>
      <xdr:rowOff>121920</xdr:rowOff>
    </xdr:from>
    <xdr:to>
      <xdr:col>11</xdr:col>
      <xdr:colOff>60960</xdr:colOff>
      <xdr:row>21</xdr:row>
      <xdr:rowOff>106680</xdr:rowOff>
    </xdr:to>
    <xdr:sp macro="" textlink="">
      <xdr:nvSpPr>
        <xdr:cNvPr id="3" name="TextBox 2">
          <a:extLst>
            <a:ext uri="{FF2B5EF4-FFF2-40B4-BE49-F238E27FC236}">
              <a16:creationId xmlns:a16="http://schemas.microsoft.com/office/drawing/2014/main" id="{11AD89F6-7043-B741-E02B-59B20283FE4E}"/>
            </a:ext>
          </a:extLst>
        </xdr:cNvPr>
        <xdr:cNvSpPr txBox="1"/>
      </xdr:nvSpPr>
      <xdr:spPr>
        <a:xfrm>
          <a:off x="853440" y="3596640"/>
          <a:ext cx="591312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Area chart to track daily changes and highlingt days with average</a:t>
          </a:r>
          <a:r>
            <a:rPr lang="en-IN" sz="1400" b="1" baseline="0"/>
            <a:t> w</a:t>
          </a:r>
          <a:r>
            <a:rPr lang="en-IN" sz="1400" b="1"/>
            <a:t>ait time </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0.07011</cdr:x>
      <cdr:y>0.1384</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DE303B0-0DC4-FBEA-E7AF-EDCD061B113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9600" cy="5410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243840</xdr:colOff>
      <xdr:row>19</xdr:row>
      <xdr:rowOff>121920</xdr:rowOff>
    </xdr:from>
    <xdr:to>
      <xdr:col>8</xdr:col>
      <xdr:colOff>350520</xdr:colOff>
      <xdr:row>21</xdr:row>
      <xdr:rowOff>15240</xdr:rowOff>
    </xdr:to>
    <xdr:sp macro="" textlink="">
      <xdr:nvSpPr>
        <xdr:cNvPr id="3" name="TextBox 2">
          <a:extLst>
            <a:ext uri="{FF2B5EF4-FFF2-40B4-BE49-F238E27FC236}">
              <a16:creationId xmlns:a16="http://schemas.microsoft.com/office/drawing/2014/main" id="{49825EAD-75C1-4F01-B1E0-FC0E4169088E}"/>
            </a:ext>
          </a:extLst>
        </xdr:cNvPr>
        <xdr:cNvSpPr txBox="1"/>
      </xdr:nvSpPr>
      <xdr:spPr>
        <a:xfrm>
          <a:off x="853440" y="3596640"/>
          <a:ext cx="437388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Area chart for daily trends of satisfaction score</a:t>
          </a:r>
        </a:p>
      </xdr:txBody>
    </xdr:sp>
    <xdr:clientData/>
  </xdr:twoCellAnchor>
  <xdr:twoCellAnchor>
    <xdr:from>
      <xdr:col>0</xdr:col>
      <xdr:colOff>182880</xdr:colOff>
      <xdr:row>0</xdr:row>
      <xdr:rowOff>152400</xdr:rowOff>
    </xdr:from>
    <xdr:to>
      <xdr:col>15</xdr:col>
      <xdr:colOff>495300</xdr:colOff>
      <xdr:row>18</xdr:row>
      <xdr:rowOff>152400</xdr:rowOff>
    </xdr:to>
    <xdr:graphicFrame macro="">
      <xdr:nvGraphicFramePr>
        <xdr:cNvPr id="4" name="Chart 3">
          <a:extLst>
            <a:ext uri="{FF2B5EF4-FFF2-40B4-BE49-F238E27FC236}">
              <a16:creationId xmlns:a16="http://schemas.microsoft.com/office/drawing/2014/main" id="{3A3E74E5-6F9A-41D8-BA02-E4E21A158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182880</xdr:colOff>
      <xdr:row>0</xdr:row>
      <xdr:rowOff>167640</xdr:rowOff>
    </xdr:from>
    <xdr:to>
      <xdr:col>1</xdr:col>
      <xdr:colOff>358140</xdr:colOff>
      <xdr:row>4</xdr:row>
      <xdr:rowOff>7620</xdr:rowOff>
    </xdr:to>
    <xdr:pic>
      <xdr:nvPicPr>
        <xdr:cNvPr id="6" name="Graphic 5" descr="House with solid fill">
          <a:hlinkClick xmlns:r="http://schemas.openxmlformats.org/officeDocument/2006/relationships" r:id="rId2"/>
          <a:extLst>
            <a:ext uri="{FF2B5EF4-FFF2-40B4-BE49-F238E27FC236}">
              <a16:creationId xmlns:a16="http://schemas.microsoft.com/office/drawing/2014/main" id="{4BF3F37E-1BF6-9D58-96BE-833B6AA3CE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880" y="167640"/>
          <a:ext cx="739140" cy="571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0763889" createdVersion="5" refreshedVersion="8" minRefreshableVersion="3" recordCount="0" supportSubquery="1" supportAdvancedDrill="1" xr:uid="{4C3930B4-FFF9-4CB1-8ED7-379952ABCADE}">
  <cacheSource type="external" connectionId="3"/>
  <cacheFields count="4">
    <cacheField name="[Measures].[Distinct Count of Patient Id]" caption="Distinct Count of Patient Id" numFmtId="0" hierarchy="24" level="32767"/>
    <cacheField name="[Calender-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2"/>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1"/>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1111112" createdVersion="5" refreshedVersion="8" minRefreshableVersion="3" recordCount="0" supportSubquery="1" supportAdvancedDrill="1" xr:uid="{B401DCA2-09B5-4D33-9EDA-0FDEF208F84E}">
  <cacheSource type="external" connectionId="3"/>
  <cacheFields count="3">
    <cacheField name="[Calender-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134259" createdVersion="5" refreshedVersion="8" minRefreshableVersion="3" recordCount="0" supportSubquery="1" supportAdvancedDrill="1" xr:uid="{0F42DBAA-4C7A-4830-8189-EDB34408D8CA}">
  <cacheSource type="external" connectionId="3"/>
  <cacheFields count="3">
    <cacheField name="[Measures].[Distinct Count of Patient Id]" caption="Distinct Count of Patient Id" numFmtId="0" hierarchy="24"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1574074" createdVersion="5" refreshedVersion="8" minRefreshableVersion="3" recordCount="0" supportSubquery="1" supportAdvancedDrill="1" xr:uid="{557A9FC9-D86C-4988-91B0-73BC586DFAA1}">
  <cacheSource type="external" connectionId="3"/>
  <cacheFields count="3">
    <cacheField name="[Measures].[Average of Patient Satisfaction Score]" caption="Average of Patient Satisfaction Score" numFmtId="0" hierarchy="28"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2152775" createdVersion="5" refreshedVersion="8" minRefreshableVersion="3" recordCount="0" supportSubquery="1" supportAdvancedDrill="1" xr:uid="{1A5AEB82-E863-4CA6-B6CD-6039F2314958}">
  <cacheSource type="external" connectionId="3"/>
  <cacheFields count="4">
    <cacheField name="[Calender-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Sep" u="1"/>
      </sharedItems>
    </cacheField>
    <cacheField name="[Calender-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2731483" createdVersion="5" refreshedVersion="8" minRefreshableVersion="3" recordCount="0" supportSubquery="1" supportAdvancedDrill="1" xr:uid="{20D28183-D0BE-4060-BADB-14A554610725}">
  <cacheSource type="external" connectionId="3"/>
  <cacheFields count="4">
    <cacheField name="[Calender-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Sep" u="1"/>
      </sharedItems>
    </cacheField>
    <cacheField name="[Calender-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3310183" createdVersion="5" refreshedVersion="8" minRefreshableVersion="3" recordCount="0" supportSubquery="1" supportAdvancedDrill="1" xr:uid="{379E9EEF-18BD-45F2-AB77-968BE50A3C72}">
  <cacheSource type="external" connectionId="3"/>
  <cacheFields count="5">
    <cacheField name="[Calender-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  2].[Patient Admission Flag].[Patient Admission Flag]" caption="Patient Admission Flag" numFmtId="0" hierarchy="13" level="1">
      <sharedItems count="2">
        <s v="Admitted"/>
        <s v="Not Admitted"/>
      </sharedItems>
    </cacheField>
    <cacheField name="[Calender-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2"/>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3773145" createdVersion="5" refreshedVersion="8" minRefreshableVersion="3" recordCount="0" supportSubquery="1" supportAdvancedDrill="1" xr:uid="{FA3EC1E7-CB28-4448-9F68-5E51403A8538}">
  <cacheSource type="external" connectionId="3"/>
  <cacheFields count="4">
    <cacheField name="[Calender-table].[Date (Month)].[Date (Month)]" caption="Date (Month)" numFmtId="0" hierarchy="1" level="1">
      <sharedItems containsSemiMixedTypes="0" containsNonDate="0" containsString="0"/>
    </cacheField>
    <cacheField name="[Measures].[Count of Patient Age]" caption="Count of Patient Age" numFmtId="0" hierarchy="31" level="32767"/>
    <cacheField name="[Hospital Emergency Room Data  2].[Patient Age Group].[Patient Age Group]" caption="Patient Age Group" numFmtId="0" hierarchy="16" level="1">
      <sharedItems count="8">
        <s v="0-9"/>
        <s v="10-19"/>
        <s v="20-29"/>
        <s v="30-39"/>
        <s v="40-49"/>
        <s v="50-59"/>
        <s v="60-69"/>
        <s v="70-79"/>
      </sharedItems>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2" memberValueDatatype="130" unbalanced="0">
      <fieldsUsage count="2">
        <fieldUsage x="-1"/>
        <fieldUsage x="2"/>
      </fieldsUsage>
    </cacheHierarchy>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4351853" createdVersion="5" refreshedVersion="8" minRefreshableVersion="3" recordCount="0" supportSubquery="1" supportAdvancedDrill="1" xr:uid="{F0D2BBA6-5C69-4D0D-B5B4-013F79C8AE74}">
  <cacheSource type="external" connectionId="3"/>
  <cacheFields count="4">
    <cacheField name="[Calender-table].[Date (Month)].[Date (Month)]" caption="Date (Month)" numFmtId="0" hierarchy="1" level="1">
      <sharedItems containsSemiMixedTypes="0" containsNonDate="0" containsString="0"/>
    </cacheField>
    <cacheField name="[Hospital Emergency Room Data  2].[Patient attend Status].[Patient attend Status]" caption="Patient attend Status" numFmtId="0" hierarchy="17" level="1">
      <sharedItems count="2">
        <s v=" OnTime"/>
        <s v="Delay"/>
      </sharedItems>
    </cacheField>
    <cacheField name="[Measures].[Count of Patient Id]" caption="Count of Patient Id" numFmtId="0" hierarchy="23"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1"/>
      </fieldsUsage>
    </cacheHierarchy>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4814815" createdVersion="5" refreshedVersion="8" minRefreshableVersion="3" recordCount="0" supportSubquery="1" supportAdvancedDrill="1" xr:uid="{CFE69E14-3A5F-4B92-8EAE-F025FA431F1F}">
  <cacheSource type="external" connectionId="3"/>
  <cacheFields count="4">
    <cacheField name="[Calender-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  2].[Patient Gender].[Patient Gender]" caption="Patient Gender" numFmtId="0" hierarchy="9" level="1">
      <sharedItems count="2">
        <s v="Female"/>
        <s v="Male"/>
      </sharedItems>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2"/>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5509261" createdVersion="5" refreshedVersion="8" minRefreshableVersion="3" recordCount="0" supportSubquery="1" supportAdvancedDrill="1" xr:uid="{C2915206-2A5D-4D24-A651-C291E066E65E}">
  <cacheSource type="external" connectionId="3"/>
  <cacheFields count="4">
    <cacheField name="[Calender-table].[Date (Month)].[Date (Month)]" caption="Date (Month)" numFmtId="0" hierarchy="1" level="1">
      <sharedItems containsSemiMixedTypes="0" containsNonDate="0" containsString="0"/>
    </cacheField>
    <cacheField name="[Hospital Emergency Room Data  2].[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1"/>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745366087962" createdVersion="5" refreshedVersion="8" minRefreshableVersion="3" recordCount="0" supportSubquery="1" supportAdvancedDrill="1" xr:uid="{0E0D2A80-CBC1-4BB4-ABB3-AA360198C47F}">
  <cacheSource type="external" connectionId="3"/>
  <cacheFields count="4">
    <cacheField name="[Calender-table].[Date (Month)].[Date (Month)]" caption="Date (Month)" numFmtId="0" hierarchy="1" level="1">
      <sharedItems count="1">
        <s v="Aug"/>
      </sharedItems>
    </cacheField>
    <cacheField name="[Calender-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table].[Date (Quarter)].[Date (Quarter)]" caption="Date (Quarter)" numFmtId="0" hierarchy="4" level="1">
      <sharedItems count="1">
        <s v="Qtr3"/>
      </sharedItems>
    </cacheField>
    <cacheField name="[Calender-table].[Date (Year)].[Date (Year)]" caption="Date (Year)" numFmtId="0" hierarchy="3" level="1">
      <sharedItems count="1">
        <s v="2024"/>
      </sharedItems>
    </cacheField>
  </cacheFields>
  <cacheHierarchies count="34">
    <cacheHierarchy uniqueName="[Calender-table].[Date]" caption="Date" attribute="1" time="1" defaultMemberUniqueName="[Calender-table].[Date].[All]" allUniqueName="[Calender-table].[Date].[All]" dimensionUniqueName="[Calender-table]" displayFolder="" count="2" memberValueDatatype="7" unbalanced="0">
      <fieldsUsage count="2">
        <fieldUsage x="-1"/>
        <fieldUsage x="1"/>
      </fieldsUsage>
    </cacheHierarchy>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2"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2" memberValueDatatype="130" unbalanced="0">
      <fieldsUsage count="2">
        <fieldUsage x="-1"/>
        <fieldUsage x="2"/>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Calender-table].[Date (Day Index)]" caption="Date (Day Index)" attribute="1" defaultMemberUniqueName="[Calender-table].[Date (Day Index)].[All]" allUniqueName="[Calender-table].[Date (Day Index)].[All]" dimensionUniqueName="[Calender-table]" displayFolder="" count="2"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2" uniqueName="[Hospital Emergency Room Data  2]" caption="Hospital Emergency Room Data  2"/>
    <dimension measure="1" name="Measures" uniqueName="[Measures]" caption="Measures"/>
  </dimensions>
  <measureGroups count="2">
    <measureGroup name="Calender-table" caption="Calender-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g Vatsa" refreshedDate="46270.692810995373" createdVersion="3" refreshedVersion="8" minRefreshableVersion="3" recordCount="0" supportSubquery="1" supportAdvancedDrill="1" xr:uid="{D81B2250-1916-495F-9F7B-6CA97E15FEC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ge Group]" caption="Patient Age Group" attribute="1" defaultMemberUniqueName="[Hospital Emergency Room Data  2].[Patient Age Group].[All]" allUniqueName="[Hospital Emergency Room Data  2].[Patient 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6538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B9B6F1-C81D-49CD-85E7-BCD1CC944B13}" name="PivotTable8" cacheId="4" applyNumberFormats="0" applyBorderFormats="0" applyFontFormats="0" applyPatternFormats="0" applyAlignmentFormats="0" applyWidthHeightFormats="1" dataCaption="Values" tag="2442e429-80c8-428b-8976-929bb055db1c" updatedVersion="8" minRefreshableVersion="3" subtotalHiddenItems="1" itemPrintTitles="1" createdVersion="5" indent="0" outline="1" outlineData="1" multipleFieldFilters="0" chartFormat="28">
  <location ref="G9:H41"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1">
      <pivotArea collapsedLevelsAreSubtotals="1" fieldPosition="0">
        <references count="1">
          <reference field="0" count="1">
            <x v="31"/>
          </reference>
        </references>
      </pivotArea>
    </format>
    <format dxfId="0">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92819D-A35F-4499-89BD-BF0B97E68E86}" name="PivotTable2" cacheId="2" applyNumberFormats="0" applyBorderFormats="0" applyFontFormats="0" applyPatternFormats="0" applyAlignmentFormats="0" applyWidthHeightFormats="1" dataCaption="Values" tag="9a45cabb-6c62-4cee-aeb3-26a0ef479ca1" updatedVersion="8" minRefreshableVersion="3" subtotalHiddenItems="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DF903F-C826-45EB-B803-9627F48E8B04}" name="PivotTable7" cacheId="9" applyNumberFormats="0" applyBorderFormats="0" applyFontFormats="0" applyPatternFormats="0" applyAlignmentFormats="0" applyWidthHeightFormats="1" dataCaption="Values" tag="553f8148-9d74-48c4-90f8-1d73d6b6861e" updatedVersion="8" minRefreshableVersion="3" subtotalHiddenItems="1" itemPrintTitles="1" createdVersion="5" indent="0" outline="1" outlineData="1" multipleFieldFilters="0" chartFormat="25">
  <location ref="E60:F6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3">
      <pivotArea outline="0" collapsedLevelsAreSubtotals="1" fieldPosition="0"/>
    </format>
    <format dxfId="2">
      <pivotArea dataOnly="0" labelOnly="1" outline="0" axis="axisValues" fieldPosition="0"/>
    </format>
  </formats>
  <chartFormats count="6">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2" count="1" selected="0">
            <x v="0"/>
          </reference>
        </references>
      </pivotArea>
    </chartFormat>
    <chartFormat chart="20" format="3">
      <pivotArea type="data" outline="0" fieldPosition="0">
        <references count="2">
          <reference field="4294967294" count="1" selected="0">
            <x v="0"/>
          </reference>
          <reference field="2"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4B26F7-2ACB-4992-A002-B2DC7EF2FCE6}" name="PivotTable4" cacheId="7" applyNumberFormats="0" applyBorderFormats="0" applyFontFormats="0" applyPatternFormats="0" applyAlignmentFormats="0" applyWidthHeightFormats="1" dataCaption="Values" tag="553f8148-9d74-48c4-90f8-1d73d6b6861e" updatedVersion="8" minRefreshableVersion="3" subtotalHiddenItems="1" itemPrintTitles="1" createdVersion="5" indent="0" outline="1" outlineData="1" multipleFieldFilters="0" chartFormat="10">
  <location ref="B54:C6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Age" fld="1" subtotal="count" baseField="0" baseItem="0" numFmtId="1"/>
  </dataFields>
  <formats count="1">
    <format dxfId="4">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5FFD1-3023-430D-B491-8744C9842122}" name="PivotTable5" cacheId="0" applyNumberFormats="0" applyBorderFormats="0" applyFontFormats="0" applyPatternFormats="0" applyAlignmentFormats="0" applyWidthHeightFormats="1" dataCaption="Values" tag="167238f5-e639-449d-8232-9d9216055dd0" updatedVersion="8" minRefreshableVersion="3" subtotalHiddenItems="1" itemPrintTitles="1" createdVersion="5" indent="0" outline="1" outlineData="1" multipleFieldFilters="0" chartFormat="18">
  <location ref="D9:E41"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6"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61564C-83B3-4F16-B5FC-F8524EC4B926}" name="PivotTable12" cacheId="11" applyNumberFormats="0" applyBorderFormats="0" applyFontFormats="0" applyPatternFormats="0" applyAlignmentFormats="0" applyWidthHeightFormats="1" dataCaption="Values" tag="553f8148-9d74-48c4-90f8-1d73d6b6861e" updatedVersion="8" minRefreshableVersion="3" subtotalHiddenItems="1" itemPrintTitles="1" createdVersion="5" indent="0" outline="1" outlineData="1" multipleFieldFilters="0" chartFormat="25">
  <location ref="B66:B6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6">
      <pivotArea outline="0" collapsedLevelsAreSubtotals="1" fieldPosition="0"/>
    </format>
    <format dxfId="5">
      <pivotArea dataOnly="0" labelOnly="1" outline="0" axis="axisValues" fieldPosition="0"/>
    </format>
  </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B8E701-E433-464F-8388-1F1785A5C77B}" name="PivotTable1" cacheId="1" applyNumberFormats="0" applyBorderFormats="0" applyFontFormats="0" applyPatternFormats="0" applyAlignmentFormats="0" applyWidthHeightFormats="1" dataCaption="Values" tag="59a8516a-c951-49ea-a1e9-8ca6857fced5" updatedVersion="8" minRefreshableVersion="3" useAutoFormatting="1" subtotalHiddenItems="1" itemPrintTitles="1" createdVersion="5" indent="0" outline="1" outlineData="1" multipleFieldFilters="0">
  <location ref="B11:B12"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1" subtotal="average" baseField="0" baseItem="0"/>
  </dataFields>
  <formats count="1">
    <format dxfId="7">
      <pivotArea outline="0" collapsedLevelsAreSubtotals="1" fieldPosition="0"/>
    </format>
  </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42BF07-F485-4BB7-9324-95700634BD4F}" name="PivotTable6" cacheId="8" applyNumberFormats="0" applyBorderFormats="0" applyFontFormats="0" applyPatternFormats="0" applyAlignmentFormats="0" applyWidthHeightFormats="1" dataCaption="Values" tag="553f8148-9d74-48c4-90f8-1d73d6b6861e" updatedVersion="8" minRefreshableVersion="3" subtotalHiddenItems="1" itemPrintTitles="1" createdVersion="5" indent="0" outline="1" outlineData="1" multipleFieldFilters="0" chartFormat="19">
  <location ref="E54:F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8">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691A9E-F9E2-4111-84D8-E745701E214E}" name="PivotTable3" cacheId="3" applyNumberFormats="0" applyBorderFormats="0" applyFontFormats="0" applyPatternFormats="0" applyAlignmentFormats="0" applyWidthHeightFormats="1" dataCaption="Values" tag="d447a581-4b83-426d-8a23-5845c3e5fbf1" updatedVersion="8" minRefreshableVersion="3" useAutoFormatting="1" subtotalHiddenItems="1" itemPrintTitles="1" createdVersion="5" indent="0" outline="1" outlineData="1" multipleFieldFilters="0">
  <location ref="B15:B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20BEFE-FC0B-4970-B00A-15C795CCD5A6}" name="PivotTable9" cacheId="5" applyNumberFormats="0" applyBorderFormats="0" applyFontFormats="0" applyPatternFormats="0" applyAlignmentFormats="0" applyWidthHeightFormats="1" dataCaption="Values" tag="d3fe5e45-8c6a-4299-a176-8ade44600345" updatedVersion="8" minRefreshableVersion="3" subtotalHiddenItems="1" itemPrintTitles="1" createdVersion="5" indent="0" outline="1" outlineData="1" multipleFieldFilters="0" chartFormat="41">
  <location ref="J9:K41"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1">
      <pivotArea collapsedLevelsAreSubtotals="1" fieldPosition="0">
        <references count="1">
          <reference field="0" count="1">
            <x v="31"/>
          </reference>
        </references>
      </pivotArea>
    </format>
    <format dxfId="10">
      <pivotArea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459138-FA49-4B74-9DDF-43853A379601}" name="PivotTable10" cacheId="6" applyNumberFormats="0" applyBorderFormats="0" applyFontFormats="0" applyPatternFormats="0" applyAlignmentFormats="0" applyWidthHeightFormats="1" dataCaption="Values" tag="553f8148-9d74-48c4-90f8-1d73d6b6861e" updatedVersion="8" minRefreshableVersion="3" subtotalHiddenItems="1" itemPrintTitles="1" createdVersion="5" indent="0" outline="1" outlineData="1" multipleFieldFilters="0" chartFormat="6">
  <location ref="B43:D4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5">
      <pivotArea outline="0" collapsedLevelsAreSubtotals="1" fieldPosition="0"/>
    </format>
    <format dxfId="14">
      <pivotArea outline="0" fieldPosition="0">
        <references count="1">
          <reference field="4294967294" count="1">
            <x v="1"/>
          </reference>
        </references>
      </pivotArea>
    </format>
    <format dxfId="13">
      <pivotArea collapsedLevelsAreSubtotals="1" fieldPosition="0">
        <references count="2">
          <reference field="4294967294" count="1" selected="0">
            <x v="0"/>
          </reference>
          <reference field="2" count="1">
            <x v="0"/>
          </reference>
        </references>
      </pivotArea>
    </format>
    <format dxfId="12">
      <pivotArea collapsedLevelsAreSubtotals="1" fieldPosition="0">
        <references count="2">
          <reference field="4294967294" count="1" selected="0">
            <x v="0"/>
          </reference>
          <reference field="2"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2" count="1" selected="0">
            <x v="1"/>
          </reference>
        </references>
      </pivotArea>
    </chartFormat>
    <chartFormat chart="2" format="3">
      <pivotArea type="data" outline="0" fieldPosition="0">
        <references count="2">
          <reference field="4294967294" count="1" selected="0">
            <x v="1"/>
          </reference>
          <reference field="2" count="1" selected="0">
            <x v="0"/>
          </reference>
        </references>
      </pivotArea>
    </chartFormat>
  </chartFormats>
  <pivotHierarchies count="35">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B844BC-72E7-4224-936C-D6CE6002D941}" name="PivotTable11" cacheId="10" applyNumberFormats="0" applyBorderFormats="0" applyFontFormats="0" applyPatternFormats="0" applyAlignmentFormats="0" applyWidthHeightFormats="1" dataCaption="Values" tag="553f8148-9d74-48c4-90f8-1d73d6b6861e" updatedVersion="8" minRefreshableVersion="3" subtotalHiddenItems="1" itemPrintTitles="1" createdVersion="5" indent="0" outline="1" outlineData="1" multipleFieldFilters="0" chartFormat="30">
  <location ref="E66:F75"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2">
    <format dxfId="17">
      <pivotArea outline="0" collapsedLevelsAreSubtotals="1" fieldPosition="0"/>
    </format>
    <format dxfId="16">
      <pivotArea dataOnly="0" labelOnly="1" outline="0" axis="axisValues" fieldPosition="0"/>
    </format>
  </formats>
  <chartFormats count="1">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an]"/>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A85E167-DC3F-42CE-AFA8-8E10C10D0111}" sourceName="[Calender-table].[Date (Month)]">
  <pivotTables>
    <pivotTable tabId="1" name="PivotTable5"/>
    <pivotTable tabId="1" name="PivotTable1"/>
    <pivotTable tabId="1" name="PivotTable2"/>
    <pivotTable tabId="1" name="PivotTable3"/>
    <pivotTable tabId="1" name="PivotTable8"/>
    <pivotTable tabId="1" name="PivotTable9"/>
    <pivotTable tabId="1" name="PivotTable10"/>
    <pivotTable tabId="1" name="PivotTable4"/>
    <pivotTable tabId="1" name="PivotTable6"/>
    <pivotTable tabId="1" name="PivotTable7"/>
    <pivotTable tabId="1" name="PivotTable11"/>
    <pivotTable tabId="1" name="PivotTable12"/>
  </pivotTables>
  <data>
    <olap pivotCacheId="176538392">
      <levels count="2">
        <level uniqueName="[Calender-table].[Date (Month)].[(All)]" sourceCaption="(All)" count="0"/>
        <level uniqueName="[Calender-table].[Date (Month)].[Date (Month)]" sourceCaption="Date (Month)" count="12">
          <ranges>
            <range startItem="0">
              <i n="[Calender-table].[Date (Month)].&amp;[Jan]" c="Jan"/>
              <i n="[Calender-table].[Date (Month)].&amp;[Feb]" c="Feb"/>
              <i n="[Calender-table].[Date (Month)].&amp;[Mar]" c="Mar"/>
              <i n="[Calender-table].[Date (Month)].&amp;[Apr]" c="Apr"/>
              <i n="[Calender-table].[Date (Month)].&amp;[May]" c="May"/>
              <i n="[Calender-table].[Date (Month)].&amp;[Jun]" c="Jun"/>
              <i n="[Calender-table].[Date (Month)].&amp;[Jul]" c="Jul"/>
              <i n="[Calender-table].[Date (Month)].&amp;[Aug]" c="Aug"/>
              <i n="[Calender-table].[Date (Month)].&amp;[Sep]" c="Sep"/>
              <i n="[Calender-table].[Date (Month)].&amp;[Oct]" c="Oct"/>
              <i n="[Calender-table].[Date (Month)].&amp;[Nov]" c="Nov"/>
              <i n="[Calender-table].[Date (Month)].&amp;[Dec]" c="Dec"/>
            </range>
          </ranges>
        </level>
      </levels>
      <selections count="1">
        <selection n="[Calender-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74BD5A7-84AE-4948-8425-23955360FFF4}" sourceName="[Calender-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6538392">
      <levels count="2">
        <level uniqueName="[Calender-table].[Date (Year)].[(All)]" sourceCaption="(All)" count="0"/>
        <level uniqueName="[Calender-table].[Date (Year)].[Date (Year)]" sourceCaption="Date (Year)" count="2">
          <ranges>
            <range startItem="0">
              <i n="[Calender-table].[Date (Year)].&amp;[2023]" c="2023"/>
              <i n="[Calender-table].[Date (Year)].&amp;[2024]" c="2024"/>
            </range>
          </ranges>
        </level>
      </levels>
      <selections count="1">
        <selection n="[Calender-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479C3A6-6472-4E3F-ABCE-0714A172F4F6}" cache="Slicer_Date__Month" caption="Date (Month)" showCaption="0" level="1" rowHeight="252000"/>
  <slicer name="Date (Year)" xr10:uid="{8FE6CDF7-F4E2-42F9-A6C5-4B3136DE9A60}" cache="Slicer_Date__Year" caption="Date (Year)" showCaption="0" level="1" style="SlicerStyleLight5"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C0D9-AD55-4CAA-8179-6CB1F2ED518C}">
  <dimension ref="B6:K75"/>
  <sheetViews>
    <sheetView tabSelected="1" topLeftCell="A49" workbookViewId="0">
      <selection activeCell="B49" sqref="B49"/>
    </sheetView>
  </sheetViews>
  <sheetFormatPr defaultRowHeight="14.4" x14ac:dyDescent="0.3"/>
  <cols>
    <col min="2" max="2" width="32.44140625" bestFit="1" customWidth="1"/>
    <col min="3" max="3" width="19.88671875" customWidth="1"/>
    <col min="4" max="4" width="15.109375" customWidth="1"/>
    <col min="5" max="5" width="23.88671875" bestFit="1" customWidth="1"/>
    <col min="8" max="8" width="23.88671875" bestFit="1" customWidth="1"/>
  </cols>
  <sheetData>
    <row r="6" spans="2:11" x14ac:dyDescent="0.3">
      <c r="B6" t="s">
        <v>3</v>
      </c>
    </row>
    <row r="8" spans="2:11" x14ac:dyDescent="0.3">
      <c r="B8" t="s">
        <v>2</v>
      </c>
      <c r="D8" t="s">
        <v>38</v>
      </c>
      <c r="G8" t="s">
        <v>37</v>
      </c>
      <c r="J8" t="s">
        <v>39</v>
      </c>
    </row>
    <row r="9" spans="2:11" x14ac:dyDescent="0.3">
      <c r="B9">
        <v>513</v>
      </c>
      <c r="D9" s="1" t="s">
        <v>0</v>
      </c>
      <c r="E9" t="s">
        <v>2</v>
      </c>
      <c r="G9" s="1" t="s">
        <v>0</v>
      </c>
      <c r="H9" t="s">
        <v>4</v>
      </c>
      <c r="J9" s="1" t="s">
        <v>0</v>
      </c>
      <c r="K9" t="s">
        <v>5</v>
      </c>
    </row>
    <row r="10" spans="2:11" x14ac:dyDescent="0.3">
      <c r="D10" s="2" t="s">
        <v>6</v>
      </c>
      <c r="E10">
        <v>19</v>
      </c>
      <c r="G10" s="2" t="s">
        <v>6</v>
      </c>
      <c r="H10" s="4">
        <v>37.789473684210527</v>
      </c>
      <c r="J10" s="2" t="s">
        <v>6</v>
      </c>
      <c r="K10" s="4">
        <v>6.666666666666667</v>
      </c>
    </row>
    <row r="11" spans="2:11" x14ac:dyDescent="0.3">
      <c r="B11" t="s">
        <v>4</v>
      </c>
      <c r="D11" s="2" t="s">
        <v>7</v>
      </c>
      <c r="E11">
        <v>14</v>
      </c>
      <c r="G11" s="2" t="s">
        <v>7</v>
      </c>
      <c r="H11" s="4">
        <v>38.214285714285715</v>
      </c>
      <c r="J11" s="2" t="s">
        <v>7</v>
      </c>
      <c r="K11" s="4">
        <v>3.5</v>
      </c>
    </row>
    <row r="12" spans="2:11" x14ac:dyDescent="0.3">
      <c r="B12" s="4">
        <v>36.323586744639378</v>
      </c>
      <c r="D12" s="2" t="s">
        <v>8</v>
      </c>
      <c r="E12">
        <v>13</v>
      </c>
      <c r="G12" s="2" t="s">
        <v>8</v>
      </c>
      <c r="H12" s="4">
        <v>40.92307692307692</v>
      </c>
      <c r="J12" s="2" t="s">
        <v>8</v>
      </c>
      <c r="K12" s="4">
        <v>4.5</v>
      </c>
    </row>
    <row r="13" spans="2:11" x14ac:dyDescent="0.3">
      <c r="D13" s="2" t="s">
        <v>9</v>
      </c>
      <c r="E13">
        <v>22</v>
      </c>
      <c r="G13" s="2" t="s">
        <v>9</v>
      </c>
      <c r="H13" s="4">
        <v>34.5</v>
      </c>
      <c r="J13" s="2" t="s">
        <v>9</v>
      </c>
      <c r="K13" s="4">
        <v>4.8</v>
      </c>
    </row>
    <row r="14" spans="2:11" x14ac:dyDescent="0.3">
      <c r="D14" s="2" t="s">
        <v>10</v>
      </c>
      <c r="E14">
        <v>19</v>
      </c>
      <c r="G14" s="2" t="s">
        <v>10</v>
      </c>
      <c r="H14" s="4">
        <v>30.684210526315791</v>
      </c>
      <c r="J14" s="2" t="s">
        <v>10</v>
      </c>
      <c r="K14" s="4">
        <v>7.75</v>
      </c>
    </row>
    <row r="15" spans="2:11" x14ac:dyDescent="0.3">
      <c r="B15" t="s">
        <v>5</v>
      </c>
      <c r="D15" s="2" t="s">
        <v>11</v>
      </c>
      <c r="E15">
        <v>15</v>
      </c>
      <c r="G15" s="2" t="s">
        <v>11</v>
      </c>
      <c r="H15" s="4">
        <v>37.666666666666664</v>
      </c>
      <c r="J15" s="2" t="s">
        <v>11</v>
      </c>
      <c r="K15" s="4">
        <v>6.2</v>
      </c>
    </row>
    <row r="16" spans="2:11" x14ac:dyDescent="0.3">
      <c r="B16" s="3">
        <v>4.9591836734693882</v>
      </c>
      <c r="D16" s="2" t="s">
        <v>12</v>
      </c>
      <c r="E16">
        <v>12</v>
      </c>
      <c r="G16" s="2" t="s">
        <v>12</v>
      </c>
      <c r="H16" s="4">
        <v>36.083333333333336</v>
      </c>
      <c r="J16" s="2" t="s">
        <v>12</v>
      </c>
      <c r="K16" s="4">
        <v>3.75</v>
      </c>
    </row>
    <row r="17" spans="4:11" x14ac:dyDescent="0.3">
      <c r="D17" s="2" t="s">
        <v>13</v>
      </c>
      <c r="E17">
        <v>21</v>
      </c>
      <c r="G17" s="2" t="s">
        <v>13</v>
      </c>
      <c r="H17" s="4">
        <v>43.523809523809526</v>
      </c>
      <c r="J17" s="2" t="s">
        <v>13</v>
      </c>
      <c r="K17" s="4">
        <v>6.5</v>
      </c>
    </row>
    <row r="18" spans="4:11" x14ac:dyDescent="0.3">
      <c r="D18" s="2" t="s">
        <v>14</v>
      </c>
      <c r="E18">
        <v>12</v>
      </c>
      <c r="G18" s="2" t="s">
        <v>14</v>
      </c>
      <c r="H18" s="4">
        <v>29.5</v>
      </c>
      <c r="J18" s="2" t="s">
        <v>14</v>
      </c>
      <c r="K18" s="4">
        <v>3</v>
      </c>
    </row>
    <row r="19" spans="4:11" x14ac:dyDescent="0.3">
      <c r="D19" s="2" t="s">
        <v>15</v>
      </c>
      <c r="E19">
        <v>13</v>
      </c>
      <c r="G19" s="2" t="s">
        <v>15</v>
      </c>
      <c r="H19" s="4">
        <v>38.07692307692308</v>
      </c>
      <c r="J19" s="2" t="s">
        <v>15</v>
      </c>
      <c r="K19" s="4">
        <v>4.5</v>
      </c>
    </row>
    <row r="20" spans="4:11" x14ac:dyDescent="0.3">
      <c r="D20" s="2" t="s">
        <v>16</v>
      </c>
      <c r="E20">
        <v>13</v>
      </c>
      <c r="G20" s="2" t="s">
        <v>16</v>
      </c>
      <c r="H20" s="4">
        <v>35.846153846153847</v>
      </c>
      <c r="J20" s="2" t="s">
        <v>16</v>
      </c>
      <c r="K20" s="4">
        <v>6</v>
      </c>
    </row>
    <row r="21" spans="4:11" x14ac:dyDescent="0.3">
      <c r="D21" s="2" t="s">
        <v>17</v>
      </c>
      <c r="E21">
        <v>16</v>
      </c>
      <c r="G21" s="2" t="s">
        <v>17</v>
      </c>
      <c r="H21" s="4">
        <v>32.625</v>
      </c>
      <c r="J21" s="2" t="s">
        <v>17</v>
      </c>
      <c r="K21" s="4">
        <v>5.2</v>
      </c>
    </row>
    <row r="22" spans="4:11" x14ac:dyDescent="0.3">
      <c r="D22" s="2" t="s">
        <v>18</v>
      </c>
      <c r="E22">
        <v>20</v>
      </c>
      <c r="G22" s="2" t="s">
        <v>18</v>
      </c>
      <c r="H22" s="4">
        <v>39.200000000000003</v>
      </c>
      <c r="J22" s="2" t="s">
        <v>18</v>
      </c>
      <c r="K22" s="4">
        <v>4.4000000000000004</v>
      </c>
    </row>
    <row r="23" spans="4:11" x14ac:dyDescent="0.3">
      <c r="D23" s="2" t="s">
        <v>19</v>
      </c>
      <c r="E23">
        <v>25</v>
      </c>
      <c r="G23" s="2" t="s">
        <v>19</v>
      </c>
      <c r="H23" s="4">
        <v>35.28</v>
      </c>
      <c r="J23" s="2" t="s">
        <v>19</v>
      </c>
      <c r="K23" s="4">
        <v>3.4545454545454546</v>
      </c>
    </row>
    <row r="24" spans="4:11" x14ac:dyDescent="0.3">
      <c r="D24" s="2" t="s">
        <v>20</v>
      </c>
      <c r="E24">
        <v>20</v>
      </c>
      <c r="G24" s="2" t="s">
        <v>20</v>
      </c>
      <c r="H24" s="4">
        <v>32.549999999999997</v>
      </c>
      <c r="J24" s="2" t="s">
        <v>20</v>
      </c>
      <c r="K24" s="4">
        <v>4.4000000000000004</v>
      </c>
    </row>
    <row r="25" spans="4:11" x14ac:dyDescent="0.3">
      <c r="D25" s="2" t="s">
        <v>21</v>
      </c>
      <c r="E25">
        <v>14</v>
      </c>
      <c r="G25" s="2" t="s">
        <v>21</v>
      </c>
      <c r="H25" s="4">
        <v>35.642857142857146</v>
      </c>
      <c r="J25" s="2" t="s">
        <v>21</v>
      </c>
      <c r="K25" s="4">
        <v>5.833333333333333</v>
      </c>
    </row>
    <row r="26" spans="4:11" x14ac:dyDescent="0.3">
      <c r="D26" s="2" t="s">
        <v>22</v>
      </c>
      <c r="E26">
        <v>17</v>
      </c>
      <c r="G26" s="2" t="s">
        <v>22</v>
      </c>
      <c r="H26" s="4">
        <v>38.764705882352942</v>
      </c>
      <c r="J26" s="2" t="s">
        <v>22</v>
      </c>
      <c r="K26" s="4">
        <v>4.4444444444444446</v>
      </c>
    </row>
    <row r="27" spans="4:11" x14ac:dyDescent="0.3">
      <c r="D27" s="2" t="s">
        <v>23</v>
      </c>
      <c r="E27">
        <v>20</v>
      </c>
      <c r="G27" s="2" t="s">
        <v>23</v>
      </c>
      <c r="H27" s="4">
        <v>39.9</v>
      </c>
      <c r="J27" s="2" t="s">
        <v>23</v>
      </c>
      <c r="K27" s="4">
        <v>5.333333333333333</v>
      </c>
    </row>
    <row r="28" spans="4:11" x14ac:dyDescent="0.3">
      <c r="D28" s="2" t="s">
        <v>24</v>
      </c>
      <c r="E28">
        <v>10</v>
      </c>
      <c r="G28" s="2" t="s">
        <v>24</v>
      </c>
      <c r="H28" s="4">
        <v>41.6</v>
      </c>
      <c r="J28" s="2" t="s">
        <v>24</v>
      </c>
      <c r="K28" s="4">
        <v>5.333333333333333</v>
      </c>
    </row>
    <row r="29" spans="4:11" x14ac:dyDescent="0.3">
      <c r="D29" s="2" t="s">
        <v>25</v>
      </c>
      <c r="E29">
        <v>17</v>
      </c>
      <c r="G29" s="2" t="s">
        <v>25</v>
      </c>
      <c r="H29" s="4">
        <v>39.470588235294116</v>
      </c>
      <c r="J29" s="2" t="s">
        <v>25</v>
      </c>
      <c r="K29" s="4">
        <v>5.5714285714285712</v>
      </c>
    </row>
    <row r="30" spans="4:11" x14ac:dyDescent="0.3">
      <c r="D30" s="2" t="s">
        <v>26</v>
      </c>
      <c r="E30">
        <v>15</v>
      </c>
      <c r="G30" s="2" t="s">
        <v>26</v>
      </c>
      <c r="H30" s="4">
        <v>27.733333333333334</v>
      </c>
      <c r="J30" s="2" t="s">
        <v>26</v>
      </c>
      <c r="K30" s="4">
        <v>5</v>
      </c>
    </row>
    <row r="31" spans="4:11" x14ac:dyDescent="0.3">
      <c r="D31" s="2" t="s">
        <v>27</v>
      </c>
      <c r="E31">
        <v>16</v>
      </c>
      <c r="G31" s="2" t="s">
        <v>27</v>
      </c>
      <c r="H31" s="4">
        <v>36.875</v>
      </c>
      <c r="J31" s="2" t="s">
        <v>27</v>
      </c>
      <c r="K31" s="4">
        <v>6.4</v>
      </c>
    </row>
    <row r="32" spans="4:11" x14ac:dyDescent="0.3">
      <c r="D32" s="2" t="s">
        <v>28</v>
      </c>
      <c r="E32">
        <v>18</v>
      </c>
      <c r="G32" s="2" t="s">
        <v>28</v>
      </c>
      <c r="H32" s="4">
        <v>40.333333333333336</v>
      </c>
      <c r="J32" s="2" t="s">
        <v>28</v>
      </c>
      <c r="K32" s="4">
        <v>5.333333333333333</v>
      </c>
    </row>
    <row r="33" spans="2:11" x14ac:dyDescent="0.3">
      <c r="D33" s="2" t="s">
        <v>29</v>
      </c>
      <c r="E33">
        <v>16</v>
      </c>
      <c r="G33" s="2" t="s">
        <v>29</v>
      </c>
      <c r="H33" s="4">
        <v>36.5</v>
      </c>
      <c r="J33" s="2" t="s">
        <v>29</v>
      </c>
      <c r="K33" s="4">
        <v>3.75</v>
      </c>
    </row>
    <row r="34" spans="2:11" x14ac:dyDescent="0.3">
      <c r="D34" s="2" t="s">
        <v>30</v>
      </c>
      <c r="E34">
        <v>15</v>
      </c>
      <c r="G34" s="2" t="s">
        <v>30</v>
      </c>
      <c r="H34" s="4">
        <v>32.866666666666667</v>
      </c>
      <c r="J34" s="2" t="s">
        <v>30</v>
      </c>
      <c r="K34" s="4">
        <v>6.333333333333333</v>
      </c>
    </row>
    <row r="35" spans="2:11" x14ac:dyDescent="0.3">
      <c r="D35" s="2" t="s">
        <v>31</v>
      </c>
      <c r="E35">
        <v>14</v>
      </c>
      <c r="G35" s="2" t="s">
        <v>31</v>
      </c>
      <c r="H35" s="4">
        <v>36.642857142857146</v>
      </c>
      <c r="J35" s="2" t="s">
        <v>31</v>
      </c>
      <c r="K35" s="4">
        <v>10</v>
      </c>
    </row>
    <row r="36" spans="2:11" x14ac:dyDescent="0.3">
      <c r="D36" s="2" t="s">
        <v>32</v>
      </c>
      <c r="E36">
        <v>16</v>
      </c>
      <c r="G36" s="2" t="s">
        <v>32</v>
      </c>
      <c r="H36" s="4">
        <v>36.5625</v>
      </c>
      <c r="J36" s="2" t="s">
        <v>32</v>
      </c>
      <c r="K36" s="4">
        <v>5</v>
      </c>
    </row>
    <row r="37" spans="2:11" x14ac:dyDescent="0.3">
      <c r="D37" s="2" t="s">
        <v>33</v>
      </c>
      <c r="E37">
        <v>20</v>
      </c>
      <c r="G37" s="2" t="s">
        <v>33</v>
      </c>
      <c r="H37" s="4">
        <v>32.15</v>
      </c>
      <c r="J37" s="2" t="s">
        <v>33</v>
      </c>
      <c r="K37" s="4">
        <v>5.333333333333333</v>
      </c>
    </row>
    <row r="38" spans="2:11" x14ac:dyDescent="0.3">
      <c r="D38" s="2" t="s">
        <v>34</v>
      </c>
      <c r="E38">
        <v>19</v>
      </c>
      <c r="G38" s="2" t="s">
        <v>34</v>
      </c>
      <c r="H38" s="4">
        <v>38.368421052631582</v>
      </c>
      <c r="J38" s="2" t="s">
        <v>34</v>
      </c>
      <c r="K38" s="4">
        <v>4.8</v>
      </c>
    </row>
    <row r="39" spans="2:11" x14ac:dyDescent="0.3">
      <c r="D39" s="2" t="s">
        <v>35</v>
      </c>
      <c r="E39">
        <v>14</v>
      </c>
      <c r="G39" s="2" t="s">
        <v>35</v>
      </c>
      <c r="H39" s="4">
        <v>33.071428571428569</v>
      </c>
      <c r="J39" s="2" t="s">
        <v>35</v>
      </c>
      <c r="K39" s="4">
        <v>5</v>
      </c>
    </row>
    <row r="40" spans="2:11" x14ac:dyDescent="0.3">
      <c r="D40" s="2" t="s">
        <v>36</v>
      </c>
      <c r="E40">
        <v>18</v>
      </c>
      <c r="G40" s="2" t="s">
        <v>36</v>
      </c>
      <c r="H40" s="4">
        <v>36.444444444444443</v>
      </c>
      <c r="J40" s="2" t="s">
        <v>36</v>
      </c>
      <c r="K40" s="4">
        <v>1.4</v>
      </c>
    </row>
    <row r="41" spans="2:11" x14ac:dyDescent="0.3">
      <c r="D41" s="2" t="s">
        <v>1</v>
      </c>
      <c r="E41">
        <v>513</v>
      </c>
      <c r="G41" s="2" t="s">
        <v>1</v>
      </c>
      <c r="H41" s="4">
        <v>36.323586744639378</v>
      </c>
      <c r="J41" s="2" t="s">
        <v>1</v>
      </c>
      <c r="K41" s="4">
        <v>4.9591836734693882</v>
      </c>
    </row>
    <row r="42" spans="2:11" x14ac:dyDescent="0.3">
      <c r="D42" s="2"/>
      <c r="G42" s="2"/>
      <c r="H42" s="4"/>
      <c r="J42" s="2"/>
      <c r="K42" s="4"/>
    </row>
    <row r="43" spans="2:11" x14ac:dyDescent="0.3">
      <c r="B43" s="1" t="s">
        <v>0</v>
      </c>
      <c r="C43" t="s">
        <v>40</v>
      </c>
      <c r="D43" t="s">
        <v>43</v>
      </c>
    </row>
    <row r="44" spans="2:11" x14ac:dyDescent="0.3">
      <c r="B44" s="2" t="s">
        <v>41</v>
      </c>
      <c r="C44" s="7">
        <v>269</v>
      </c>
      <c r="D44" s="6">
        <v>0.52436647173489281</v>
      </c>
    </row>
    <row r="45" spans="2:11" x14ac:dyDescent="0.3">
      <c r="B45" s="2" t="s">
        <v>42</v>
      </c>
      <c r="C45" s="7">
        <v>244</v>
      </c>
      <c r="D45" s="6">
        <v>0.47563352826510719</v>
      </c>
    </row>
    <row r="46" spans="2:11" x14ac:dyDescent="0.3">
      <c r="B46" s="2" t="s">
        <v>1</v>
      </c>
      <c r="C46" s="3">
        <v>513</v>
      </c>
      <c r="D46" s="6">
        <v>1</v>
      </c>
    </row>
    <row r="49" spans="2:6" x14ac:dyDescent="0.3">
      <c r="B49" s="9" t="s">
        <v>44</v>
      </c>
      <c r="C49" s="13" t="s">
        <v>45</v>
      </c>
      <c r="D49" s="13" t="s">
        <v>46</v>
      </c>
      <c r="E49" s="10"/>
    </row>
    <row r="50" spans="2:6" x14ac:dyDescent="0.3">
      <c r="B50" s="11" t="s">
        <v>42</v>
      </c>
      <c r="C50" s="16">
        <v>244</v>
      </c>
      <c r="D50" s="14">
        <v>0.47563352826510719</v>
      </c>
      <c r="E50" s="12"/>
    </row>
    <row r="51" spans="2:6" x14ac:dyDescent="0.3">
      <c r="B51" s="11" t="s">
        <v>41</v>
      </c>
      <c r="C51" s="16">
        <v>269</v>
      </c>
      <c r="D51" s="14">
        <v>0.52436647173489281</v>
      </c>
      <c r="E51" s="12"/>
    </row>
    <row r="52" spans="2:6" x14ac:dyDescent="0.3">
      <c r="B52" s="8"/>
      <c r="C52" s="8"/>
      <c r="D52" s="15"/>
      <c r="E52" s="8"/>
    </row>
    <row r="53" spans="2:6" x14ac:dyDescent="0.3">
      <c r="B53" t="s">
        <v>56</v>
      </c>
      <c r="E53" s="19" t="s">
        <v>62</v>
      </c>
    </row>
    <row r="54" spans="2:6" x14ac:dyDescent="0.3">
      <c r="B54" s="1" t="s">
        <v>0</v>
      </c>
      <c r="C54" t="s">
        <v>47</v>
      </c>
      <c r="E54" s="1" t="s">
        <v>0</v>
      </c>
      <c r="F54" t="s">
        <v>59</v>
      </c>
    </row>
    <row r="55" spans="2:6" x14ac:dyDescent="0.3">
      <c r="B55" s="2" t="s">
        <v>48</v>
      </c>
      <c r="C55" s="7">
        <v>76</v>
      </c>
      <c r="E55" s="2" t="s">
        <v>57</v>
      </c>
      <c r="F55" s="7">
        <v>197</v>
      </c>
    </row>
    <row r="56" spans="2:6" x14ac:dyDescent="0.3">
      <c r="B56" s="2" t="s">
        <v>49</v>
      </c>
      <c r="C56" s="7">
        <v>69</v>
      </c>
      <c r="E56" s="2" t="s">
        <v>58</v>
      </c>
      <c r="F56" s="7">
        <v>316</v>
      </c>
    </row>
    <row r="57" spans="2:6" x14ac:dyDescent="0.3">
      <c r="B57" s="2" t="s">
        <v>50</v>
      </c>
      <c r="C57" s="7">
        <v>64</v>
      </c>
      <c r="E57" s="2" t="s">
        <v>1</v>
      </c>
      <c r="F57" s="7">
        <v>513</v>
      </c>
    </row>
    <row r="58" spans="2:6" x14ac:dyDescent="0.3">
      <c r="B58" s="2" t="s">
        <v>51</v>
      </c>
      <c r="C58" s="7">
        <v>59</v>
      </c>
    </row>
    <row r="59" spans="2:6" x14ac:dyDescent="0.3">
      <c r="B59" s="2" t="s">
        <v>52</v>
      </c>
      <c r="C59" s="7">
        <v>58</v>
      </c>
      <c r="E59" s="18" t="s">
        <v>64</v>
      </c>
    </row>
    <row r="60" spans="2:6" x14ac:dyDescent="0.3">
      <c r="B60" s="2" t="s">
        <v>53</v>
      </c>
      <c r="C60" s="7">
        <v>66</v>
      </c>
      <c r="E60" s="1" t="s">
        <v>0</v>
      </c>
      <c r="F60" s="17" t="s">
        <v>63</v>
      </c>
    </row>
    <row r="61" spans="2:6" x14ac:dyDescent="0.3">
      <c r="B61" s="2" t="s">
        <v>54</v>
      </c>
      <c r="C61" s="7">
        <v>67</v>
      </c>
      <c r="E61" s="2" t="s">
        <v>60</v>
      </c>
      <c r="F61" s="7">
        <v>241</v>
      </c>
    </row>
    <row r="62" spans="2:6" x14ac:dyDescent="0.3">
      <c r="B62" s="2" t="s">
        <v>55</v>
      </c>
      <c r="C62" s="7">
        <v>54</v>
      </c>
      <c r="E62" s="2" t="s">
        <v>61</v>
      </c>
      <c r="F62" s="7">
        <v>272</v>
      </c>
    </row>
    <row r="63" spans="2:6" x14ac:dyDescent="0.3">
      <c r="B63" s="2" t="s">
        <v>1</v>
      </c>
      <c r="C63" s="7">
        <v>513</v>
      </c>
      <c r="E63" s="2" t="s">
        <v>1</v>
      </c>
      <c r="F63" s="7">
        <v>513</v>
      </c>
    </row>
    <row r="66" spans="2:6" x14ac:dyDescent="0.3">
      <c r="B66" s="1" t="s">
        <v>0</v>
      </c>
      <c r="E66" s="1" t="s">
        <v>0</v>
      </c>
      <c r="F66" s="17" t="s">
        <v>73</v>
      </c>
    </row>
    <row r="67" spans="2:6" x14ac:dyDescent="0.3">
      <c r="B67" s="2" t="s">
        <v>74</v>
      </c>
      <c r="E67" s="2" t="s">
        <v>72</v>
      </c>
      <c r="F67" s="7">
        <v>5</v>
      </c>
    </row>
    <row r="68" spans="2:6" x14ac:dyDescent="0.3">
      <c r="B68" s="2" t="s">
        <v>1</v>
      </c>
      <c r="E68" s="2" t="s">
        <v>71</v>
      </c>
      <c r="F68" s="7">
        <v>14</v>
      </c>
    </row>
    <row r="69" spans="2:6" x14ac:dyDescent="0.3">
      <c r="E69" s="2" t="s">
        <v>70</v>
      </c>
      <c r="F69" s="7">
        <v>65</v>
      </c>
    </row>
    <row r="70" spans="2:6" x14ac:dyDescent="0.3">
      <c r="E70" s="2" t="s">
        <v>69</v>
      </c>
      <c r="F70" s="7">
        <v>299</v>
      </c>
    </row>
    <row r="71" spans="2:6" x14ac:dyDescent="0.3">
      <c r="E71" s="2" t="s">
        <v>68</v>
      </c>
      <c r="F71" s="7">
        <v>9</v>
      </c>
    </row>
    <row r="72" spans="2:6" x14ac:dyDescent="0.3">
      <c r="E72" s="2" t="s">
        <v>67</v>
      </c>
      <c r="F72" s="7">
        <v>103</v>
      </c>
    </row>
    <row r="73" spans="2:6" x14ac:dyDescent="0.3">
      <c r="E73" s="2" t="s">
        <v>66</v>
      </c>
      <c r="F73" s="7">
        <v>4</v>
      </c>
    </row>
    <row r="74" spans="2:6" x14ac:dyDescent="0.3">
      <c r="E74" s="2" t="s">
        <v>65</v>
      </c>
      <c r="F74" s="7">
        <v>14</v>
      </c>
    </row>
    <row r="75" spans="2:6" x14ac:dyDescent="0.3">
      <c r="E75" s="2" t="s">
        <v>1</v>
      </c>
      <c r="F75" s="7">
        <v>513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B4567-15A9-4501-8724-936483BE185D}">
  <dimension ref="A1:S48"/>
  <sheetViews>
    <sheetView zoomScale="117" zoomScaleNormal="117" workbookViewId="0">
      <selection activeCell="T3" sqref="T3"/>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row r="32" spans="1:19" x14ac:dyDescent="0.3">
      <c r="A32" s="5"/>
      <c r="B32" s="5"/>
      <c r="C32" s="5"/>
      <c r="D32" s="5"/>
      <c r="E32" s="5"/>
      <c r="F32" s="5"/>
      <c r="G32" s="5"/>
      <c r="H32" s="5"/>
      <c r="I32" s="5"/>
      <c r="J32" s="5"/>
      <c r="K32" s="5"/>
      <c r="L32" s="5"/>
      <c r="M32" s="5"/>
      <c r="N32" s="5"/>
      <c r="O32" s="5"/>
      <c r="P32" s="5"/>
      <c r="Q32" s="5"/>
      <c r="R32" s="5"/>
      <c r="S32" s="5"/>
    </row>
    <row r="33" spans="1:19" x14ac:dyDescent="0.3">
      <c r="A33" s="5"/>
      <c r="B33" s="5"/>
      <c r="C33" s="5"/>
      <c r="D33" s="5"/>
      <c r="E33" s="5"/>
      <c r="F33" s="5"/>
      <c r="G33" s="5"/>
      <c r="H33" s="5"/>
      <c r="I33" s="5"/>
      <c r="J33" s="5"/>
      <c r="K33" s="5"/>
      <c r="L33" s="5"/>
      <c r="M33" s="5"/>
      <c r="N33" s="5"/>
      <c r="O33" s="5"/>
      <c r="P33" s="5"/>
      <c r="Q33" s="5"/>
      <c r="R33" s="5"/>
      <c r="S33" s="5"/>
    </row>
    <row r="34" spans="1:19" x14ac:dyDescent="0.3">
      <c r="A34" s="5"/>
      <c r="B34" s="5"/>
      <c r="C34" s="5"/>
      <c r="D34" s="5"/>
      <c r="E34" s="5"/>
      <c r="F34" s="5"/>
      <c r="G34" s="5"/>
      <c r="H34" s="5"/>
      <c r="I34" s="5"/>
      <c r="J34" s="5"/>
      <c r="K34" s="5"/>
      <c r="L34" s="5"/>
      <c r="M34" s="5"/>
      <c r="N34" s="5"/>
      <c r="O34" s="5"/>
      <c r="P34" s="5"/>
      <c r="Q34" s="5"/>
      <c r="R34" s="5"/>
      <c r="S34" s="5"/>
    </row>
    <row r="35" spans="1:19" x14ac:dyDescent="0.3">
      <c r="A35" s="5"/>
      <c r="B35" s="5"/>
      <c r="C35" s="5"/>
      <c r="D35" s="5"/>
      <c r="E35" s="5"/>
      <c r="F35" s="5"/>
      <c r="G35" s="5"/>
      <c r="H35" s="5"/>
      <c r="I35" s="5"/>
      <c r="J35" s="5"/>
      <c r="K35" s="5"/>
      <c r="L35" s="5"/>
      <c r="M35" s="5"/>
      <c r="N35" s="5"/>
      <c r="O35" s="5"/>
      <c r="P35" s="5"/>
      <c r="Q35" s="5"/>
      <c r="R35" s="5"/>
      <c r="S35" s="5"/>
    </row>
    <row r="36" spans="1:19" x14ac:dyDescent="0.3">
      <c r="A36" s="5"/>
      <c r="B36" s="5"/>
      <c r="C36" s="5"/>
      <c r="D36" s="5"/>
      <c r="E36" s="5"/>
      <c r="F36" s="5"/>
      <c r="G36" s="5"/>
      <c r="H36" s="5"/>
      <c r="I36" s="5"/>
      <c r="J36" s="5"/>
      <c r="K36" s="5"/>
      <c r="L36" s="5"/>
      <c r="M36" s="5"/>
      <c r="N36" s="5"/>
      <c r="O36" s="5"/>
      <c r="P36" s="5"/>
      <c r="Q36" s="5"/>
      <c r="R36" s="5"/>
      <c r="S36" s="5"/>
    </row>
    <row r="37" spans="1:19" x14ac:dyDescent="0.3">
      <c r="A37" s="5"/>
      <c r="B37" s="5"/>
      <c r="C37" s="5"/>
      <c r="D37" s="5"/>
      <c r="E37" s="5"/>
      <c r="F37" s="5"/>
      <c r="G37" s="5"/>
      <c r="H37" s="5"/>
      <c r="I37" s="5"/>
      <c r="J37" s="5"/>
      <c r="K37" s="5"/>
      <c r="L37" s="5"/>
      <c r="M37" s="5"/>
      <c r="N37" s="5"/>
      <c r="O37" s="5"/>
      <c r="P37" s="5"/>
      <c r="Q37" s="5"/>
      <c r="R37" s="5"/>
      <c r="S37" s="5"/>
    </row>
    <row r="38" spans="1:19" x14ac:dyDescent="0.3">
      <c r="A38" s="5"/>
      <c r="B38" s="5"/>
      <c r="C38" s="5"/>
      <c r="D38" s="5"/>
      <c r="E38" s="5"/>
      <c r="F38" s="5"/>
      <c r="G38" s="5"/>
      <c r="H38" s="5"/>
      <c r="I38" s="5"/>
      <c r="J38" s="5"/>
      <c r="K38" s="5"/>
      <c r="L38" s="5"/>
      <c r="M38" s="5"/>
      <c r="N38" s="5"/>
      <c r="O38" s="5"/>
      <c r="P38" s="5"/>
      <c r="Q38" s="5"/>
      <c r="R38" s="5"/>
      <c r="S38" s="5"/>
    </row>
    <row r="39" spans="1:19" x14ac:dyDescent="0.3">
      <c r="A39" s="5"/>
      <c r="B39" s="5"/>
      <c r="C39" s="5"/>
      <c r="D39" s="5"/>
      <c r="E39" s="5"/>
      <c r="F39" s="5"/>
      <c r="G39" s="5"/>
      <c r="H39" s="5"/>
      <c r="I39" s="5"/>
      <c r="J39" s="5"/>
      <c r="K39" s="5"/>
      <c r="L39" s="5"/>
      <c r="M39" s="5"/>
      <c r="N39" s="5"/>
      <c r="O39" s="5"/>
      <c r="P39" s="5"/>
      <c r="Q39" s="5"/>
      <c r="R39" s="5"/>
      <c r="S39" s="5"/>
    </row>
    <row r="40" spans="1:19" x14ac:dyDescent="0.3">
      <c r="A40" s="5"/>
      <c r="B40" s="5"/>
      <c r="C40" s="5"/>
      <c r="D40" s="5"/>
      <c r="E40" s="5"/>
      <c r="F40" s="5"/>
      <c r="G40" s="5"/>
      <c r="H40" s="5"/>
      <c r="I40" s="5"/>
      <c r="J40" s="5"/>
      <c r="K40" s="5"/>
      <c r="L40" s="5"/>
      <c r="M40" s="5"/>
      <c r="N40" s="5"/>
      <c r="O40" s="5"/>
      <c r="P40" s="5"/>
      <c r="Q40" s="5"/>
      <c r="R40" s="5"/>
      <c r="S40" s="5"/>
    </row>
    <row r="41" spans="1:19" x14ac:dyDescent="0.3">
      <c r="A41" s="5"/>
      <c r="B41" s="5"/>
      <c r="C41" s="5"/>
      <c r="D41" s="5"/>
      <c r="E41" s="5"/>
      <c r="F41" s="5"/>
      <c r="G41" s="5"/>
      <c r="H41" s="5"/>
      <c r="I41" s="5"/>
      <c r="J41" s="5"/>
      <c r="K41" s="5"/>
      <c r="L41" s="5"/>
      <c r="M41" s="5"/>
      <c r="N41" s="5"/>
      <c r="O41" s="5"/>
      <c r="P41" s="5"/>
      <c r="Q41" s="5"/>
      <c r="R41" s="5"/>
      <c r="S41" s="5"/>
    </row>
    <row r="42" spans="1:19" x14ac:dyDescent="0.3">
      <c r="A42" s="5"/>
      <c r="B42" s="5"/>
      <c r="C42" s="5"/>
      <c r="D42" s="5"/>
      <c r="E42" s="5"/>
      <c r="F42" s="5"/>
      <c r="G42" s="5"/>
      <c r="H42" s="5"/>
      <c r="I42" s="5"/>
      <c r="J42" s="5"/>
      <c r="K42" s="5"/>
      <c r="L42" s="5"/>
      <c r="M42" s="5"/>
      <c r="N42" s="5"/>
      <c r="O42" s="5"/>
      <c r="P42" s="5"/>
      <c r="Q42" s="5"/>
      <c r="R42" s="5"/>
      <c r="S42" s="5"/>
    </row>
    <row r="43" spans="1:19" x14ac:dyDescent="0.3">
      <c r="A43" s="5"/>
      <c r="B43" s="5"/>
      <c r="C43" s="5"/>
      <c r="D43" s="5"/>
      <c r="E43" s="5"/>
      <c r="F43" s="5"/>
      <c r="G43" s="5"/>
      <c r="H43" s="5"/>
      <c r="I43" s="5"/>
      <c r="J43" s="5"/>
      <c r="K43" s="5"/>
      <c r="L43" s="5"/>
      <c r="M43" s="5"/>
      <c r="N43" s="5"/>
      <c r="O43" s="5"/>
      <c r="P43" s="5"/>
      <c r="Q43" s="5"/>
      <c r="R43" s="5"/>
      <c r="S43" s="5"/>
    </row>
    <row r="44" spans="1:19" x14ac:dyDescent="0.3">
      <c r="A44" s="5"/>
      <c r="B44" s="5"/>
      <c r="C44" s="5"/>
      <c r="D44" s="5"/>
      <c r="E44" s="5"/>
      <c r="F44" s="5"/>
      <c r="G44" s="5"/>
      <c r="H44" s="5"/>
      <c r="I44" s="5"/>
      <c r="J44" s="5"/>
      <c r="K44" s="5"/>
      <c r="L44" s="5"/>
      <c r="M44" s="5"/>
      <c r="N44" s="5"/>
      <c r="O44" s="5"/>
      <c r="P44" s="5"/>
      <c r="Q44" s="5"/>
      <c r="R44" s="5"/>
      <c r="S44" s="5"/>
    </row>
    <row r="45" spans="1:19" x14ac:dyDescent="0.3">
      <c r="A45" s="5"/>
      <c r="B45" s="5"/>
      <c r="C45" s="5"/>
      <c r="D45" s="5"/>
      <c r="E45" s="5"/>
      <c r="F45" s="5"/>
      <c r="G45" s="5"/>
      <c r="H45" s="5"/>
      <c r="I45" s="5"/>
      <c r="J45" s="5"/>
      <c r="K45" s="5"/>
      <c r="L45" s="5"/>
      <c r="M45" s="5"/>
      <c r="N45" s="5"/>
      <c r="O45" s="5"/>
      <c r="P45" s="5"/>
      <c r="Q45" s="5"/>
      <c r="R45" s="5"/>
      <c r="S45" s="5"/>
    </row>
    <row r="46" spans="1:19" x14ac:dyDescent="0.3">
      <c r="A46" s="5"/>
      <c r="B46" s="5"/>
      <c r="C46" s="5"/>
      <c r="D46" s="5"/>
      <c r="E46" s="5"/>
      <c r="F46" s="5"/>
      <c r="G46" s="5"/>
      <c r="H46" s="5"/>
      <c r="I46" s="5"/>
      <c r="J46" s="5"/>
      <c r="K46" s="5"/>
      <c r="L46" s="5"/>
      <c r="M46" s="5"/>
      <c r="N46" s="5"/>
      <c r="O46" s="5"/>
      <c r="P46" s="5"/>
      <c r="Q46" s="5"/>
      <c r="R46" s="5"/>
      <c r="S46" s="5"/>
    </row>
    <row r="47" spans="1:19" x14ac:dyDescent="0.3">
      <c r="A47" s="5"/>
      <c r="B47" s="5"/>
      <c r="C47" s="5"/>
      <c r="D47" s="5"/>
      <c r="E47" s="5"/>
      <c r="F47" s="5"/>
      <c r="G47" s="5"/>
      <c r="H47" s="5"/>
      <c r="I47" s="5"/>
      <c r="J47" s="5"/>
      <c r="K47" s="5"/>
      <c r="L47" s="5"/>
      <c r="M47" s="5"/>
      <c r="N47" s="5"/>
      <c r="O47" s="5"/>
      <c r="P47" s="5"/>
      <c r="Q47" s="5"/>
      <c r="R47" s="5"/>
      <c r="S47" s="5"/>
    </row>
    <row r="48" spans="1:19" x14ac:dyDescent="0.3">
      <c r="A48" s="5"/>
      <c r="B48" s="5"/>
      <c r="C48" s="5"/>
      <c r="D48" s="5"/>
      <c r="E48" s="5"/>
      <c r="F48" s="5"/>
      <c r="G48" s="5"/>
      <c r="H48" s="5"/>
      <c r="I48" s="5"/>
      <c r="J48" s="5"/>
      <c r="K48" s="5"/>
      <c r="L48" s="5"/>
      <c r="M48" s="5"/>
      <c r="N48" s="5"/>
      <c r="O48" s="5"/>
      <c r="P48" s="5"/>
      <c r="Q48" s="5"/>
      <c r="R48" s="5"/>
      <c r="S48"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83E4-6329-4F64-B7BC-6FDBEBB8E3E0}">
  <dimension ref="A1:W31"/>
  <sheetViews>
    <sheetView workbookViewId="0">
      <selection sqref="A1:W31"/>
    </sheetView>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850A-FC4B-45E4-B31F-A69C8BBE7B33}">
  <dimension ref="A1:S31"/>
  <sheetViews>
    <sheetView workbookViewId="0">
      <selection sqref="A1:S31"/>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5093-2884-43F3-8D28-49B1242ED616}">
  <dimension ref="A1:S31"/>
  <sheetViews>
    <sheetView workbookViewId="0">
      <selection sqref="A1:S31"/>
    </sheetView>
  </sheetViews>
  <sheetFormatPr defaultRowHeight="14.4" x14ac:dyDescent="0.3"/>
  <cols>
    <col min="1" max="1" width="8.21875" customWidth="1"/>
  </cols>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DD71E9A-FF0C-496D-BE86-11AD428BA6EC}">
  <ds:schemaRefs/>
</ds:datastoreItem>
</file>

<file path=customXml/itemProps2.xml><?xml version="1.0" encoding="utf-8"?>
<ds:datastoreItem xmlns:ds="http://schemas.openxmlformats.org/officeDocument/2006/customXml" ds:itemID="{F50C4F44-1FD1-40F0-A995-85ED5D1D4EA8}">
  <ds:schemaRefs/>
</ds:datastoreItem>
</file>

<file path=customXml/itemProps3.xml><?xml version="1.0" encoding="utf-8"?>
<ds:datastoreItem xmlns:ds="http://schemas.openxmlformats.org/officeDocument/2006/customXml" ds:itemID="{B6819A2B-1FAB-4856-8F05-1533555B08AD}">
  <ds:schemaRefs/>
</ds:datastoreItem>
</file>

<file path=customXml/itemProps4.xml><?xml version="1.0" encoding="utf-8"?>
<ds:datastoreItem xmlns:ds="http://schemas.openxmlformats.org/officeDocument/2006/customXml" ds:itemID="{D9550231-6B06-4DD7-9D43-7B890BDF2D21}">
  <ds:schemaRefs/>
</ds:datastoreItem>
</file>

<file path=customXml/itemProps5.xml><?xml version="1.0" encoding="utf-8"?>
<ds:datastoreItem xmlns:ds="http://schemas.openxmlformats.org/officeDocument/2006/customXml" ds:itemID="{5C6B1273-8256-4142-A50C-51E3362BCD21}">
  <ds:schemaRefs/>
</ds:datastoreItem>
</file>

<file path=customXml/itemProps6.xml><?xml version="1.0" encoding="utf-8"?>
<ds:datastoreItem xmlns:ds="http://schemas.openxmlformats.org/officeDocument/2006/customXml" ds:itemID="{E2F788DB-D2E9-4824-8885-5E1C64CA0CAD}">
  <ds:schemaRefs/>
</ds:datastoreItem>
</file>

<file path=customXml/itemProps7.xml><?xml version="1.0" encoding="utf-8"?>
<ds:datastoreItem xmlns:ds="http://schemas.openxmlformats.org/officeDocument/2006/customXml" ds:itemID="{AD5EA014-CFD0-4D86-B192-798858C54930}">
  <ds:schemaRefs/>
</ds:datastoreItem>
</file>

<file path=customXml/itemProps8.xml><?xml version="1.0" encoding="utf-8"?>
<ds:datastoreItem xmlns:ds="http://schemas.openxmlformats.org/officeDocument/2006/customXml" ds:itemID="{3A7A8953-B22B-4B7A-AE64-CCA28EB592FD}">
  <ds:schemaRefs/>
</ds:datastoreItem>
</file>

<file path=customXml/itemProps9.xml><?xml version="1.0" encoding="utf-8"?>
<ds:datastoreItem xmlns:ds="http://schemas.openxmlformats.org/officeDocument/2006/customXml" ds:itemID="{F6A228AE-7EC1-4AE2-836B-E63792A3D336}">
  <ds:schemaRefs/>
</ds:datastoreItem>
</file>

<file path=customXml/itemProps10.xml><?xml version="1.0" encoding="utf-8"?>
<ds:datastoreItem xmlns:ds="http://schemas.openxmlformats.org/officeDocument/2006/customXml" ds:itemID="{F591CED6-76E8-4CB7-937F-77DF0FE2AE43}">
  <ds:schemaRefs/>
</ds:datastoreItem>
</file>

<file path=customXml/itemProps11.xml><?xml version="1.0" encoding="utf-8"?>
<ds:datastoreItem xmlns:ds="http://schemas.openxmlformats.org/officeDocument/2006/customXml" ds:itemID="{1997818C-77F5-43F9-88CD-1FE660052D51}">
  <ds:schemaRefs/>
</ds:datastoreItem>
</file>

<file path=customXml/itemProps12.xml><?xml version="1.0" encoding="utf-8"?>
<ds:datastoreItem xmlns:ds="http://schemas.openxmlformats.org/officeDocument/2006/customXml" ds:itemID="{405B1267-F99D-4995-B4DA-75BCDB108D31}">
  <ds:schemaRefs/>
</ds:datastoreItem>
</file>

<file path=customXml/itemProps13.xml><?xml version="1.0" encoding="utf-8"?>
<ds:datastoreItem xmlns:ds="http://schemas.openxmlformats.org/officeDocument/2006/customXml" ds:itemID="{FC33EB48-67DB-4ED7-8396-C96E60547683}">
  <ds:schemaRefs/>
</ds:datastoreItem>
</file>

<file path=customXml/itemProps14.xml><?xml version="1.0" encoding="utf-8"?>
<ds:datastoreItem xmlns:ds="http://schemas.openxmlformats.org/officeDocument/2006/customXml" ds:itemID="{7E53D4D4-2538-4E0D-AAC3-96E15B8A2FFA}">
  <ds:schemaRefs/>
</ds:datastoreItem>
</file>

<file path=customXml/itemProps15.xml><?xml version="1.0" encoding="utf-8"?>
<ds:datastoreItem xmlns:ds="http://schemas.openxmlformats.org/officeDocument/2006/customXml" ds:itemID="{32C43331-3C0F-409F-B717-2D2187AF8E32}">
  <ds:schemaRefs>
    <ds:schemaRef ds:uri="http://schemas.microsoft.com/DataMashup"/>
  </ds:schemaRefs>
</ds:datastoreItem>
</file>

<file path=customXml/itemProps16.xml><?xml version="1.0" encoding="utf-8"?>
<ds:datastoreItem xmlns:ds="http://schemas.openxmlformats.org/officeDocument/2006/customXml" ds:itemID="{5A15F926-70A4-4B02-8844-3B0461E01068}">
  <ds:schemaRefs/>
</ds:datastoreItem>
</file>

<file path=customXml/itemProps17.xml><?xml version="1.0" encoding="utf-8"?>
<ds:datastoreItem xmlns:ds="http://schemas.openxmlformats.org/officeDocument/2006/customXml" ds:itemID="{05490AFB-D28E-4AB6-BB81-921011852CFF}">
  <ds:schemaRefs/>
</ds:datastoreItem>
</file>

<file path=customXml/itemProps18.xml><?xml version="1.0" encoding="utf-8"?>
<ds:datastoreItem xmlns:ds="http://schemas.openxmlformats.org/officeDocument/2006/customXml" ds:itemID="{65730437-7823-4FFA-A352-F79C6FC7B4AE}">
  <ds:schemaRefs/>
</ds:datastoreItem>
</file>

<file path=customXml/itemProps19.xml><?xml version="1.0" encoding="utf-8"?>
<ds:datastoreItem xmlns:ds="http://schemas.openxmlformats.org/officeDocument/2006/customXml" ds:itemID="{45260D16-6A75-42A9-B73B-0D1B42DB4C9C}">
  <ds:schemaRefs/>
</ds:datastoreItem>
</file>

<file path=customXml/itemProps20.xml><?xml version="1.0" encoding="utf-8"?>
<ds:datastoreItem xmlns:ds="http://schemas.openxmlformats.org/officeDocument/2006/customXml" ds:itemID="{85697B6F-94EF-4E3C-9B2F-DB7085A28CC2}">
  <ds:schemaRefs/>
</ds:datastoreItem>
</file>

<file path=customXml/itemProps21.xml><?xml version="1.0" encoding="utf-8"?>
<ds:datastoreItem xmlns:ds="http://schemas.openxmlformats.org/officeDocument/2006/customXml" ds:itemID="{10811E54-8907-4E2A-B0AE-1C2EB533D8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pivot report</vt:lpstr>
      <vt:lpstr>Dashboard Sheet</vt:lpstr>
      <vt:lpstr>Daily ER visit busy trend</vt:lpstr>
      <vt:lpstr>Daily Avg Waittime</vt:lpstr>
      <vt:lpstr>Daily Avg Satisfacton score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T</dc:creator>
  <cp:lastModifiedBy>T T</cp:lastModifiedBy>
  <dcterms:created xsi:type="dcterms:W3CDTF">2026-09-01T02:55:25Z</dcterms:created>
  <dcterms:modified xsi:type="dcterms:W3CDTF">2026-09-23T13:09:16Z</dcterms:modified>
</cp:coreProperties>
</file>